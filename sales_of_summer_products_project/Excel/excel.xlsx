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neha\system\OneDrive\Documents\Job_projects\sales_of_summer_products_project\"/>
    </mc:Choice>
  </mc:AlternateContent>
  <xr:revisionPtr revIDLastSave="0" documentId="13_ncr:1_{E86D49D2-527C-4858-9CC5-4DEF2F21E74B}" xr6:coauthVersionLast="47" xr6:coauthVersionMax="47" xr10:uidLastSave="{00000000-0000-0000-0000-000000000000}"/>
  <bookViews>
    <workbookView xWindow="-108" yWindow="-108" windowWidth="23256" windowHeight="12456" tabRatio="897" xr2:uid="{6B871F55-2107-4D22-AAB3-CE98CECAD8AA}"/>
  </bookViews>
  <sheets>
    <sheet name="Computed insight - Success of a" sheetId="6" r:id="rId1"/>
    <sheet name="Sales_Volume_ by_Merchant_Tier" sheetId="2" r:id="rId2"/>
    <sheet name="Discount_Impact_on_Sales_Perfor" sheetId="11" r:id="rId3"/>
    <sheet name="Urgency_Banner_Effectiveness" sheetId="12" r:id="rId4"/>
    <sheet name="KPY_Summary_Cards" sheetId="13" r:id="rId5"/>
    <sheet name="Dashboard" sheetId="14" r:id="rId6"/>
  </sheets>
  <definedNames>
    <definedName name="ExternalData_1" localSheetId="0" hidden="1">'Computed insight - Success of a'!$A$1:$N$959</definedName>
    <definedName name="Slicer_Rating_Catagory1">#N/A</definedName>
    <definedName name="Slicer_Urgency_status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6" l="1"/>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R702" i="6"/>
  <c r="R703" i="6"/>
  <c r="R704" i="6"/>
  <c r="R705" i="6"/>
  <c r="R706" i="6"/>
  <c r="R707" i="6"/>
  <c r="R708" i="6"/>
  <c r="R709" i="6"/>
  <c r="R710" i="6"/>
  <c r="R711" i="6"/>
  <c r="R712" i="6"/>
  <c r="R713" i="6"/>
  <c r="R714" i="6"/>
  <c r="R715" i="6"/>
  <c r="R716" i="6"/>
  <c r="R717" i="6"/>
  <c r="R718" i="6"/>
  <c r="R719" i="6"/>
  <c r="R720" i="6"/>
  <c r="R721" i="6"/>
  <c r="R722" i="6"/>
  <c r="R723" i="6"/>
  <c r="R724" i="6"/>
  <c r="R725" i="6"/>
  <c r="R726" i="6"/>
  <c r="R727" i="6"/>
  <c r="R728" i="6"/>
  <c r="R729" i="6"/>
  <c r="R730" i="6"/>
  <c r="R731" i="6"/>
  <c r="R732" i="6"/>
  <c r="R733" i="6"/>
  <c r="R734" i="6"/>
  <c r="R735" i="6"/>
  <c r="R736" i="6"/>
  <c r="R737" i="6"/>
  <c r="R738" i="6"/>
  <c r="R739" i="6"/>
  <c r="R740" i="6"/>
  <c r="R741" i="6"/>
  <c r="R742" i="6"/>
  <c r="R743" i="6"/>
  <c r="R744" i="6"/>
  <c r="R745" i="6"/>
  <c r="R746" i="6"/>
  <c r="R747" i="6"/>
  <c r="R748" i="6"/>
  <c r="R749" i="6"/>
  <c r="R750" i="6"/>
  <c r="R751" i="6"/>
  <c r="R752" i="6"/>
  <c r="R753" i="6"/>
  <c r="R754" i="6"/>
  <c r="R755" i="6"/>
  <c r="R756" i="6"/>
  <c r="R757" i="6"/>
  <c r="R758" i="6"/>
  <c r="R759" i="6"/>
  <c r="R760" i="6"/>
  <c r="R761" i="6"/>
  <c r="R762" i="6"/>
  <c r="R763" i="6"/>
  <c r="R764" i="6"/>
  <c r="R765" i="6"/>
  <c r="R766" i="6"/>
  <c r="R767" i="6"/>
  <c r="R768" i="6"/>
  <c r="R769" i="6"/>
  <c r="R770" i="6"/>
  <c r="R771" i="6"/>
  <c r="R772" i="6"/>
  <c r="R773" i="6"/>
  <c r="R774" i="6"/>
  <c r="R775" i="6"/>
  <c r="R776" i="6"/>
  <c r="R777" i="6"/>
  <c r="R778" i="6"/>
  <c r="R779" i="6"/>
  <c r="R780" i="6"/>
  <c r="R781" i="6"/>
  <c r="R782" i="6"/>
  <c r="R783" i="6"/>
  <c r="R784" i="6"/>
  <c r="R785" i="6"/>
  <c r="R786" i="6"/>
  <c r="R787" i="6"/>
  <c r="R788" i="6"/>
  <c r="R789" i="6"/>
  <c r="R790" i="6"/>
  <c r="R791" i="6"/>
  <c r="R792" i="6"/>
  <c r="R793" i="6"/>
  <c r="R794" i="6"/>
  <c r="R795" i="6"/>
  <c r="R796" i="6"/>
  <c r="R797" i="6"/>
  <c r="R798" i="6"/>
  <c r="R799" i="6"/>
  <c r="R800" i="6"/>
  <c r="R801" i="6"/>
  <c r="R802" i="6"/>
  <c r="R803" i="6"/>
  <c r="R804" i="6"/>
  <c r="R805" i="6"/>
  <c r="R806" i="6"/>
  <c r="R807" i="6"/>
  <c r="R808" i="6"/>
  <c r="R809" i="6"/>
  <c r="R810" i="6"/>
  <c r="R811" i="6"/>
  <c r="R812" i="6"/>
  <c r="R813" i="6"/>
  <c r="R814" i="6"/>
  <c r="R815" i="6"/>
  <c r="R816" i="6"/>
  <c r="R817" i="6"/>
  <c r="R818" i="6"/>
  <c r="R819" i="6"/>
  <c r="R820" i="6"/>
  <c r="R821" i="6"/>
  <c r="R822" i="6"/>
  <c r="R823" i="6"/>
  <c r="R824" i="6"/>
  <c r="R825" i="6"/>
  <c r="R826" i="6"/>
  <c r="R827" i="6"/>
  <c r="R828" i="6"/>
  <c r="R829" i="6"/>
  <c r="R830" i="6"/>
  <c r="R831" i="6"/>
  <c r="R832" i="6"/>
  <c r="R833" i="6"/>
  <c r="R834" i="6"/>
  <c r="R835" i="6"/>
  <c r="R836" i="6"/>
  <c r="R837" i="6"/>
  <c r="R838" i="6"/>
  <c r="R839" i="6"/>
  <c r="R840" i="6"/>
  <c r="R841" i="6"/>
  <c r="R842" i="6"/>
  <c r="R843" i="6"/>
  <c r="R844" i="6"/>
  <c r="R845" i="6"/>
  <c r="R846" i="6"/>
  <c r="R847" i="6"/>
  <c r="R848" i="6"/>
  <c r="R849" i="6"/>
  <c r="R850" i="6"/>
  <c r="R851" i="6"/>
  <c r="R852" i="6"/>
  <c r="R853" i="6"/>
  <c r="R854" i="6"/>
  <c r="R855" i="6"/>
  <c r="R856" i="6"/>
  <c r="R857" i="6"/>
  <c r="R858" i="6"/>
  <c r="R859" i="6"/>
  <c r="R860" i="6"/>
  <c r="R861" i="6"/>
  <c r="R862" i="6"/>
  <c r="R863" i="6"/>
  <c r="R864" i="6"/>
  <c r="R865" i="6"/>
  <c r="R866" i="6"/>
  <c r="R867" i="6"/>
  <c r="R868" i="6"/>
  <c r="R869" i="6"/>
  <c r="R870" i="6"/>
  <c r="R871" i="6"/>
  <c r="R872" i="6"/>
  <c r="R873" i="6"/>
  <c r="R874" i="6"/>
  <c r="R875" i="6"/>
  <c r="R876" i="6"/>
  <c r="R877" i="6"/>
  <c r="R878" i="6"/>
  <c r="R879" i="6"/>
  <c r="R880" i="6"/>
  <c r="R881" i="6"/>
  <c r="R882" i="6"/>
  <c r="R883" i="6"/>
  <c r="R884" i="6"/>
  <c r="R885" i="6"/>
  <c r="R886" i="6"/>
  <c r="R887" i="6"/>
  <c r="R888" i="6"/>
  <c r="R889" i="6"/>
  <c r="R890" i="6"/>
  <c r="R891" i="6"/>
  <c r="R892" i="6"/>
  <c r="R893" i="6"/>
  <c r="R894" i="6"/>
  <c r="R895" i="6"/>
  <c r="R896" i="6"/>
  <c r="R897" i="6"/>
  <c r="R898" i="6"/>
  <c r="R899" i="6"/>
  <c r="R900" i="6"/>
  <c r="R901" i="6"/>
  <c r="R902" i="6"/>
  <c r="R903" i="6"/>
  <c r="R904" i="6"/>
  <c r="R905" i="6"/>
  <c r="R906" i="6"/>
  <c r="R907" i="6"/>
  <c r="R908" i="6"/>
  <c r="R909" i="6"/>
  <c r="R910" i="6"/>
  <c r="R911" i="6"/>
  <c r="R912" i="6"/>
  <c r="R913" i="6"/>
  <c r="R914" i="6"/>
  <c r="R915" i="6"/>
  <c r="R916" i="6"/>
  <c r="R917" i="6"/>
  <c r="R918" i="6"/>
  <c r="R919" i="6"/>
  <c r="R920" i="6"/>
  <c r="R921" i="6"/>
  <c r="R922" i="6"/>
  <c r="R923" i="6"/>
  <c r="R924" i="6"/>
  <c r="R925" i="6"/>
  <c r="R926" i="6"/>
  <c r="R927" i="6"/>
  <c r="R928" i="6"/>
  <c r="R929" i="6"/>
  <c r="R930" i="6"/>
  <c r="R931" i="6"/>
  <c r="R932" i="6"/>
  <c r="R933" i="6"/>
  <c r="R934" i="6"/>
  <c r="R935" i="6"/>
  <c r="R936" i="6"/>
  <c r="R937" i="6"/>
  <c r="R938" i="6"/>
  <c r="R939" i="6"/>
  <c r="R940" i="6"/>
  <c r="R941" i="6"/>
  <c r="R942" i="6"/>
  <c r="R943" i="6"/>
  <c r="R944" i="6"/>
  <c r="R945" i="6"/>
  <c r="R946" i="6"/>
  <c r="R947" i="6"/>
  <c r="R948" i="6"/>
  <c r="R949" i="6"/>
  <c r="R950" i="6"/>
  <c r="R951" i="6"/>
  <c r="R952" i="6"/>
  <c r="R953" i="6"/>
  <c r="R954" i="6"/>
  <c r="R955" i="6"/>
  <c r="R956" i="6"/>
  <c r="R957" i="6"/>
  <c r="R958" i="6"/>
  <c r="R959" i="6"/>
  <c r="Q2" i="6" a="1"/>
  <c r="Q2" i="6" s="1"/>
  <c r="Q3" i="6" a="1"/>
  <c r="Q3" i="6" s="1"/>
  <c r="Q4" i="6" a="1"/>
  <c r="Q4" i="6"/>
  <c r="Q5" i="6" a="1"/>
  <c r="Q5" i="6" s="1"/>
  <c r="Q6" i="6" a="1"/>
  <c r="Q6" i="6" s="1"/>
  <c r="Q7" i="6" a="1"/>
  <c r="Q7" i="6" s="1"/>
  <c r="Q8" i="6" a="1"/>
  <c r="Q8" i="6" s="1"/>
  <c r="Q9" i="6" a="1"/>
  <c r="Q9" i="6"/>
  <c r="Q10" i="6" a="1"/>
  <c r="Q10" i="6" s="1"/>
  <c r="Q11" i="6" a="1"/>
  <c r="Q11" i="6" s="1"/>
  <c r="Q12" i="6" a="1"/>
  <c r="Q12" i="6" s="1"/>
  <c r="Q13" i="6" a="1"/>
  <c r="Q13" i="6" s="1"/>
  <c r="Q14" i="6" a="1"/>
  <c r="Q14" i="6" s="1"/>
  <c r="Q15" i="6" a="1"/>
  <c r="Q15" i="6"/>
  <c r="Q16" i="6" a="1"/>
  <c r="Q16" i="6"/>
  <c r="Q17" i="6" a="1"/>
  <c r="Q17" i="6" s="1"/>
  <c r="Q18" i="6" a="1"/>
  <c r="Q18" i="6" s="1"/>
  <c r="Q19" i="6" a="1"/>
  <c r="Q19" i="6" s="1"/>
  <c r="Q20" i="6" a="1"/>
  <c r="Q20" i="6" s="1"/>
  <c r="Q21" i="6" a="1"/>
  <c r="Q21" i="6" s="1"/>
  <c r="Q22" i="6" a="1"/>
  <c r="Q22" i="6" s="1"/>
  <c r="Q23" i="6" a="1"/>
  <c r="Q23" i="6" s="1"/>
  <c r="Q24" i="6" a="1"/>
  <c r="Q24" i="6" s="1"/>
  <c r="Q25" i="6" a="1"/>
  <c r="Q25" i="6" s="1"/>
  <c r="Q26" i="6" a="1"/>
  <c r="Q26" i="6" s="1"/>
  <c r="Q27" i="6" a="1"/>
  <c r="Q27" i="6" s="1"/>
  <c r="Q28" i="6" a="1"/>
  <c r="Q28" i="6"/>
  <c r="Q29" i="6" a="1"/>
  <c r="Q29" i="6" s="1"/>
  <c r="Q30" i="6" a="1"/>
  <c r="Q30" i="6" s="1"/>
  <c r="Q31" i="6" a="1"/>
  <c r="Q31" i="6"/>
  <c r="Q32" i="6" a="1"/>
  <c r="Q32" i="6" s="1"/>
  <c r="Q33" i="6" a="1"/>
  <c r="Q33" i="6"/>
  <c r="Q34" i="6" a="1"/>
  <c r="Q34" i="6" s="1"/>
  <c r="Q35" i="6" a="1"/>
  <c r="Q35" i="6" s="1"/>
  <c r="Q36" i="6" a="1"/>
  <c r="Q36" i="6" s="1"/>
  <c r="Q37" i="6" a="1"/>
  <c r="Q37" i="6" s="1"/>
  <c r="Q38" i="6" a="1"/>
  <c r="Q38" i="6"/>
  <c r="Q39" i="6" a="1"/>
  <c r="Q39" i="6" s="1"/>
  <c r="Q40" i="6" a="1"/>
  <c r="Q40" i="6"/>
  <c r="Q41" i="6" a="1"/>
  <c r="Q41" i="6" s="1"/>
  <c r="Q42" i="6" a="1"/>
  <c r="Q42" i="6" s="1"/>
  <c r="Q43" i="6" a="1"/>
  <c r="Q43" i="6" s="1"/>
  <c r="Q44" i="6" a="1"/>
  <c r="Q44" i="6" s="1"/>
  <c r="Q45" i="6" a="1"/>
  <c r="Q45" i="6" s="1"/>
  <c r="Q46" i="6" a="1"/>
  <c r="Q46" i="6"/>
  <c r="Q47" i="6" a="1"/>
  <c r="Q47" i="6" s="1"/>
  <c r="Q48" i="6" a="1"/>
  <c r="Q48" i="6" s="1"/>
  <c r="Q49" i="6" a="1"/>
  <c r="Q49" i="6"/>
  <c r="Q50" i="6" a="1"/>
  <c r="Q50" i="6" s="1"/>
  <c r="Q51" i="6" a="1"/>
  <c r="Q51" i="6" s="1"/>
  <c r="Q52" i="6" a="1"/>
  <c r="Q52" i="6" s="1"/>
  <c r="Q53" i="6" a="1"/>
  <c r="Q53" i="6" s="1"/>
  <c r="Q54" i="6" a="1"/>
  <c r="Q54" i="6" s="1"/>
  <c r="Q55" i="6" a="1"/>
  <c r="Q55" i="6" s="1"/>
  <c r="Q56" i="6" a="1"/>
  <c r="Q56" i="6" s="1"/>
  <c r="Q57" i="6" a="1"/>
  <c r="Q57" i="6" s="1"/>
  <c r="Q58" i="6" a="1"/>
  <c r="Q58" i="6" s="1"/>
  <c r="Q59" i="6" a="1"/>
  <c r="Q59" i="6" s="1"/>
  <c r="Q60" i="6" a="1"/>
  <c r="Q60" i="6" s="1"/>
  <c r="Q61" i="6" a="1"/>
  <c r="Q61" i="6" s="1"/>
  <c r="Q62" i="6" a="1"/>
  <c r="Q62" i="6" s="1"/>
  <c r="Q63" i="6" a="1"/>
  <c r="Q63" i="6" s="1"/>
  <c r="Q64" i="6" a="1"/>
  <c r="Q64" i="6" s="1"/>
  <c r="Q65" i="6" a="1"/>
  <c r="Q65" i="6"/>
  <c r="Q66" i="6" a="1"/>
  <c r="Q66" i="6" s="1"/>
  <c r="Q67" i="6" a="1"/>
  <c r="Q67" i="6" s="1"/>
  <c r="Q68" i="6" a="1"/>
  <c r="Q68" i="6"/>
  <c r="Q69" i="6" a="1"/>
  <c r="Q69" i="6" s="1"/>
  <c r="Q70" i="6" a="1"/>
  <c r="Q70" i="6" s="1"/>
  <c r="Q71" i="6" a="1"/>
  <c r="Q71" i="6" s="1"/>
  <c r="Q72" i="6" a="1"/>
  <c r="Q72" i="6" s="1"/>
  <c r="Q73" i="6" a="1"/>
  <c r="Q73" i="6" s="1"/>
  <c r="Q74" i="6" a="1"/>
  <c r="Q74" i="6" s="1"/>
  <c r="Q75" i="6" a="1"/>
  <c r="Q75" i="6" s="1"/>
  <c r="Q76" i="6" a="1"/>
  <c r="Q76" i="6" s="1"/>
  <c r="Q77" i="6" a="1"/>
  <c r="Q77" i="6" s="1"/>
  <c r="Q78" i="6" a="1"/>
  <c r="Q78" i="6"/>
  <c r="Q79" i="6" a="1"/>
  <c r="Q79" i="6"/>
  <c r="Q80" i="6" a="1"/>
  <c r="Q80" i="6" s="1"/>
  <c r="Q81" i="6" a="1"/>
  <c r="Q81" i="6" s="1"/>
  <c r="Q82" i="6" a="1"/>
  <c r="Q82" i="6" s="1"/>
  <c r="Q83" i="6" a="1"/>
  <c r="Q83" i="6" s="1"/>
  <c r="Q84" i="6" a="1"/>
  <c r="Q84" i="6"/>
  <c r="Q85" i="6" a="1"/>
  <c r="Q85" i="6" s="1"/>
  <c r="Q86" i="6" a="1"/>
  <c r="Q86" i="6" s="1"/>
  <c r="Q87" i="6" a="1"/>
  <c r="Q87" i="6" s="1"/>
  <c r="Q88" i="6" a="1"/>
  <c r="Q88" i="6"/>
  <c r="Q89" i="6" a="1"/>
  <c r="Q89" i="6"/>
  <c r="Q90" i="6" a="1"/>
  <c r="Q90" i="6" s="1"/>
  <c r="Q91" i="6" a="1"/>
  <c r="Q91" i="6" s="1"/>
  <c r="Q92" i="6" a="1"/>
  <c r="Q92" i="6" s="1"/>
  <c r="Q93" i="6" a="1"/>
  <c r="Q93" i="6" s="1"/>
  <c r="Q94" i="6" a="1"/>
  <c r="Q94" i="6" s="1"/>
  <c r="Q95" i="6" a="1"/>
  <c r="Q95" i="6" s="1"/>
  <c r="Q96" i="6" a="1"/>
  <c r="Q96" i="6"/>
  <c r="Q97" i="6" a="1"/>
  <c r="Q97" i="6" s="1"/>
  <c r="Q98" i="6" a="1"/>
  <c r="Q98" i="6" s="1"/>
  <c r="Q99" i="6" a="1"/>
  <c r="Q99" i="6" s="1"/>
  <c r="Q100" i="6" a="1"/>
  <c r="Q100" i="6"/>
  <c r="Q101" i="6" a="1"/>
  <c r="Q101" i="6" s="1"/>
  <c r="Q102" i="6" a="1"/>
  <c r="Q102" i="6" s="1"/>
  <c r="Q103" i="6" a="1"/>
  <c r="Q103" i="6" s="1"/>
  <c r="Q104" i="6" a="1"/>
  <c r="Q104" i="6" s="1"/>
  <c r="Q105" i="6" a="1"/>
  <c r="Q105" i="6"/>
  <c r="Q106" i="6" a="1"/>
  <c r="Q106" i="6" s="1"/>
  <c r="Q107" i="6" a="1"/>
  <c r="Q107" i="6" s="1"/>
  <c r="Q108" i="6" a="1"/>
  <c r="Q108" i="6"/>
  <c r="Q109" i="6" a="1"/>
  <c r="Q109" i="6" s="1"/>
  <c r="Q110" i="6" a="1"/>
  <c r="Q110" i="6" s="1"/>
  <c r="Q111" i="6" a="1"/>
  <c r="Q111" i="6" s="1"/>
  <c r="Q112" i="6" a="1"/>
  <c r="Q112" i="6"/>
  <c r="Q113" i="6" a="1"/>
  <c r="Q113" i="6" s="1"/>
  <c r="Q114" i="6" a="1"/>
  <c r="Q114" i="6" s="1"/>
  <c r="Q115" i="6" a="1"/>
  <c r="Q115" i="6" s="1"/>
  <c r="Q116" i="6" a="1"/>
  <c r="Q116" i="6"/>
  <c r="Q117" i="6" a="1"/>
  <c r="Q117" i="6" s="1"/>
  <c r="Q118" i="6" a="1"/>
  <c r="Q118" i="6" s="1"/>
  <c r="Q119" i="6" a="1"/>
  <c r="Q119" i="6" s="1"/>
  <c r="Q120" i="6" a="1"/>
  <c r="Q120" i="6" s="1"/>
  <c r="Q121" i="6" a="1"/>
  <c r="Q121" i="6" s="1"/>
  <c r="Q122" i="6" a="1"/>
  <c r="Q122" i="6" s="1"/>
  <c r="Q123" i="6" a="1"/>
  <c r="Q123" i="6" s="1"/>
  <c r="Q124" i="6" a="1"/>
  <c r="Q124" i="6" s="1"/>
  <c r="Q125" i="6" a="1"/>
  <c r="Q125" i="6" s="1"/>
  <c r="Q126" i="6" a="1"/>
  <c r="Q126" i="6" s="1"/>
  <c r="Q127" i="6" a="1"/>
  <c r="Q127" i="6"/>
  <c r="Q128" i="6" a="1"/>
  <c r="Q128" i="6"/>
  <c r="Q129" i="6" a="1"/>
  <c r="Q129" i="6" s="1"/>
  <c r="Q130" i="6" a="1"/>
  <c r="Q130" i="6" s="1"/>
  <c r="Q131" i="6" a="1"/>
  <c r="Q131" i="6" s="1"/>
  <c r="Q132" i="6" a="1"/>
  <c r="Q132" i="6" s="1"/>
  <c r="Q133" i="6" a="1"/>
  <c r="Q133" i="6" s="1"/>
  <c r="Q134" i="6" a="1"/>
  <c r="Q134" i="6" s="1"/>
  <c r="Q135" i="6" a="1"/>
  <c r="Q135" i="6" s="1"/>
  <c r="Q136" i="6" a="1"/>
  <c r="Q136" i="6" s="1"/>
  <c r="Q137" i="6" a="1"/>
  <c r="Q137" i="6"/>
  <c r="Q138" i="6" a="1"/>
  <c r="Q138" i="6" s="1"/>
  <c r="Q139" i="6" a="1"/>
  <c r="Q139" i="6" s="1"/>
  <c r="Q140" i="6" a="1"/>
  <c r="Q140" i="6" s="1"/>
  <c r="Q141" i="6" a="1"/>
  <c r="Q141" i="6" s="1"/>
  <c r="Q142" i="6" a="1"/>
  <c r="Q142" i="6"/>
  <c r="Q143" i="6" a="1"/>
  <c r="Q143" i="6"/>
  <c r="Q144" i="6" a="1"/>
  <c r="Q144" i="6" s="1"/>
  <c r="Q145" i="6" a="1"/>
  <c r="Q145" i="6" s="1"/>
  <c r="Q146" i="6" a="1"/>
  <c r="Q146" i="6" s="1"/>
  <c r="Q147" i="6" a="1"/>
  <c r="Q147" i="6" s="1"/>
  <c r="Q148" i="6" a="1"/>
  <c r="Q148" i="6" s="1"/>
  <c r="Q149" i="6" a="1"/>
  <c r="Q149" i="6" s="1"/>
  <c r="Q150" i="6" a="1"/>
  <c r="Q150" i="6" s="1"/>
  <c r="Q151" i="6" a="1"/>
  <c r="Q151" i="6" s="1"/>
  <c r="Q152" i="6" a="1"/>
  <c r="Q152" i="6" s="1"/>
  <c r="Q153" i="6" a="1"/>
  <c r="Q153" i="6" s="1"/>
  <c r="Q154" i="6" a="1"/>
  <c r="Q154" i="6" s="1"/>
  <c r="Q155" i="6" a="1"/>
  <c r="Q155" i="6" s="1"/>
  <c r="Q156" i="6" a="1"/>
  <c r="Q156" i="6"/>
  <c r="Q157" i="6" a="1"/>
  <c r="Q157" i="6" s="1"/>
  <c r="Q158" i="6" a="1"/>
  <c r="Q158" i="6" s="1"/>
  <c r="Q159" i="6" a="1"/>
  <c r="Q159" i="6" s="1"/>
  <c r="Q160" i="6" a="1"/>
  <c r="Q160" i="6"/>
  <c r="Q161" i="6" a="1"/>
  <c r="Q161" i="6" s="1"/>
  <c r="Q162" i="6" a="1"/>
  <c r="Q162" i="6" s="1"/>
  <c r="Q163" i="6" a="1"/>
  <c r="Q163" i="6" s="1"/>
  <c r="Q164" i="6" a="1"/>
  <c r="Q164" i="6"/>
  <c r="Q165" i="6" a="1"/>
  <c r="Q165" i="6" s="1"/>
  <c r="Q166" i="6" a="1"/>
  <c r="Q166" i="6"/>
  <c r="Q167" i="6" a="1"/>
  <c r="Q167" i="6"/>
  <c r="Q168" i="6" a="1"/>
  <c r="Q168" i="6" s="1"/>
  <c r="Q169" i="6" a="1"/>
  <c r="Q169" i="6" s="1"/>
  <c r="Q170" i="6" a="1"/>
  <c r="Q170" i="6" s="1"/>
  <c r="Q171" i="6" a="1"/>
  <c r="Q171" i="6" s="1"/>
  <c r="Q172" i="6" a="1"/>
  <c r="Q172" i="6" s="1"/>
  <c r="Q173" i="6" a="1"/>
  <c r="Q173" i="6" s="1"/>
  <c r="Q174" i="6" a="1"/>
  <c r="Q174" i="6" s="1"/>
  <c r="Q175" i="6" a="1"/>
  <c r="Q175" i="6"/>
  <c r="Q176" i="6" a="1"/>
  <c r="Q176" i="6"/>
  <c r="Q177" i="6" a="1"/>
  <c r="Q177" i="6"/>
  <c r="Q178" i="6" a="1"/>
  <c r="Q178" i="6" s="1"/>
  <c r="Q179" i="6" a="1"/>
  <c r="Q179" i="6" s="1"/>
  <c r="Q180" i="6" a="1"/>
  <c r="Q180" i="6" s="1"/>
  <c r="Q181" i="6" a="1"/>
  <c r="Q181" i="6" s="1"/>
  <c r="Q182" i="6" a="1"/>
  <c r="Q182" i="6" s="1"/>
  <c r="Q183" i="6" a="1"/>
  <c r="Q183" i="6" s="1"/>
  <c r="Q184" i="6" a="1"/>
  <c r="Q184" i="6" s="1"/>
  <c r="Q185" i="6" a="1"/>
  <c r="Q185" i="6" s="1"/>
  <c r="Q186" i="6" a="1"/>
  <c r="Q186" i="6" s="1"/>
  <c r="Q187" i="6" a="1"/>
  <c r="Q187" i="6" s="1"/>
  <c r="Q188" i="6" a="1"/>
  <c r="Q188" i="6"/>
  <c r="Q189" i="6" a="1"/>
  <c r="Q189" i="6" s="1"/>
  <c r="Q190" i="6" a="1"/>
  <c r="Q190" i="6" s="1"/>
  <c r="Q191" i="6" a="1"/>
  <c r="Q191" i="6" s="1"/>
  <c r="Q192" i="6" a="1"/>
  <c r="Q192" i="6"/>
  <c r="Q193" i="6" a="1"/>
  <c r="Q193" i="6" s="1"/>
  <c r="Q194" i="6" a="1"/>
  <c r="Q194" i="6" s="1"/>
  <c r="Q195" i="6" a="1"/>
  <c r="Q195" i="6" s="1"/>
  <c r="Q196" i="6" a="1"/>
  <c r="Q196" i="6"/>
  <c r="Q197" i="6" a="1"/>
  <c r="Q197" i="6" s="1"/>
  <c r="Q198" i="6" a="1"/>
  <c r="Q198" i="6"/>
  <c r="Q199" i="6" a="1"/>
  <c r="Q199" i="6" s="1"/>
  <c r="Q200" i="6" a="1"/>
  <c r="Q200" i="6" s="1"/>
  <c r="Q201" i="6" a="1"/>
  <c r="Q201" i="6" s="1"/>
  <c r="Q202" i="6" a="1"/>
  <c r="Q202" i="6" s="1"/>
  <c r="Q203" i="6" a="1"/>
  <c r="Q203" i="6" s="1"/>
  <c r="Q204" i="6" a="1"/>
  <c r="Q204" i="6"/>
  <c r="Q205" i="6" a="1"/>
  <c r="Q205" i="6" s="1"/>
  <c r="Q206" i="6" a="1"/>
  <c r="Q206" i="6" s="1"/>
  <c r="Q207" i="6" a="1"/>
  <c r="Q207" i="6" s="1"/>
  <c r="Q208" i="6" a="1"/>
  <c r="Q208" i="6"/>
  <c r="Q209" i="6" a="1"/>
  <c r="Q209" i="6" s="1"/>
  <c r="Q210" i="6" a="1"/>
  <c r="Q210" i="6" s="1"/>
  <c r="Q211" i="6" a="1"/>
  <c r="Q211" i="6" s="1"/>
  <c r="Q212" i="6" a="1"/>
  <c r="Q212" i="6"/>
  <c r="Q213" i="6" a="1"/>
  <c r="Q213" i="6" s="1"/>
  <c r="Q214" i="6" a="1"/>
  <c r="Q214" i="6" s="1"/>
  <c r="Q215" i="6" a="1"/>
  <c r="Q215" i="6"/>
  <c r="Q216" i="6" a="1"/>
  <c r="Q216" i="6"/>
  <c r="Q217" i="6" a="1"/>
  <c r="Q217" i="6" s="1"/>
  <c r="Q218" i="6" a="1"/>
  <c r="Q218" i="6" s="1"/>
  <c r="Q219" i="6" a="1"/>
  <c r="Q219" i="6" s="1"/>
  <c r="Q220" i="6" a="1"/>
  <c r="Q220" i="6" s="1"/>
  <c r="Q221" i="6" a="1"/>
  <c r="Q221" i="6" s="1"/>
  <c r="Q222" i="6" a="1"/>
  <c r="Q222" i="6" s="1"/>
  <c r="Q223" i="6" a="1"/>
  <c r="Q223" i="6"/>
  <c r="Q224" i="6" a="1"/>
  <c r="Q224" i="6" s="1"/>
  <c r="Q225" i="6" a="1"/>
  <c r="Q225" i="6"/>
  <c r="Q226" i="6" a="1"/>
  <c r="Q226" i="6" s="1"/>
  <c r="Q227" i="6" a="1"/>
  <c r="Q227" i="6" s="1"/>
  <c r="Q228" i="6" a="1"/>
  <c r="Q228" i="6" s="1"/>
  <c r="Q229" i="6" a="1"/>
  <c r="Q229" i="6" s="1"/>
  <c r="Q230" i="6" a="1"/>
  <c r="Q230" i="6" s="1"/>
  <c r="Q231" i="6" a="1"/>
  <c r="Q231" i="6" s="1"/>
  <c r="Q232" i="6" a="1"/>
  <c r="Q232" i="6" s="1"/>
  <c r="Q233" i="6" a="1"/>
  <c r="Q233" i="6"/>
  <c r="Q234" i="6" a="1"/>
  <c r="Q234" i="6" s="1"/>
  <c r="Q235" i="6" a="1"/>
  <c r="Q235" i="6" s="1"/>
  <c r="Q236" i="6" a="1"/>
  <c r="Q236" i="6" s="1"/>
  <c r="Q237" i="6" a="1"/>
  <c r="Q237" i="6" s="1"/>
  <c r="Q238" i="6" a="1"/>
  <c r="Q238" i="6"/>
  <c r="Q239" i="6" a="1"/>
  <c r="Q239" i="6" s="1"/>
  <c r="Q240" i="6" a="1"/>
  <c r="Q240" i="6" s="1"/>
  <c r="Q241" i="6" a="1"/>
  <c r="Q241" i="6"/>
  <c r="Q242" i="6" a="1"/>
  <c r="Q242" i="6" s="1"/>
  <c r="Q243" i="6" a="1"/>
  <c r="Q243" i="6" s="1"/>
  <c r="Q244" i="6" a="1"/>
  <c r="Q244" i="6" s="1"/>
  <c r="Q245" i="6" a="1"/>
  <c r="Q245" i="6" s="1"/>
  <c r="Q246" i="6" a="1"/>
  <c r="Q246" i="6" s="1"/>
  <c r="Q247" i="6" a="1"/>
  <c r="Q247" i="6"/>
  <c r="Q248" i="6" a="1"/>
  <c r="Q248" i="6" s="1"/>
  <c r="Q249" i="6" a="1"/>
  <c r="Q249" i="6" s="1"/>
  <c r="Q250" i="6" a="1"/>
  <c r="Q250" i="6" s="1"/>
  <c r="Q251" i="6" a="1"/>
  <c r="Q251" i="6" s="1"/>
  <c r="Q252" i="6" a="1"/>
  <c r="Q252" i="6" s="1"/>
  <c r="Q253" i="6" a="1"/>
  <c r="Q253" i="6" s="1"/>
  <c r="Q254" i="6" a="1"/>
  <c r="Q254" i="6"/>
  <c r="Q255" i="6" a="1"/>
  <c r="Q255" i="6"/>
  <c r="Q256" i="6" a="1"/>
  <c r="Q256" i="6" s="1"/>
  <c r="Q257" i="6" a="1"/>
  <c r="Q257" i="6" s="1"/>
  <c r="Q258" i="6" a="1"/>
  <c r="Q258" i="6" s="1"/>
  <c r="Q259" i="6" a="1"/>
  <c r="Q259" i="6" s="1"/>
  <c r="Q260" i="6" a="1"/>
  <c r="Q260" i="6"/>
  <c r="Q261" i="6" a="1"/>
  <c r="Q261" i="6" s="1"/>
  <c r="Q262" i="6" a="1"/>
  <c r="Q262" i="6" s="1"/>
  <c r="Q263" i="6" a="1"/>
  <c r="Q263" i="6"/>
  <c r="Q264" i="6" a="1"/>
  <c r="Q264" i="6"/>
  <c r="Q265" i="6" a="1"/>
  <c r="Q265" i="6"/>
  <c r="Q266" i="6" a="1"/>
  <c r="Q266" i="6" s="1"/>
  <c r="Q267" i="6" a="1"/>
  <c r="Q267" i="6" s="1"/>
  <c r="Q268" i="6" a="1"/>
  <c r="Q268" i="6" s="1"/>
  <c r="Q269" i="6" a="1"/>
  <c r="Q269" i="6" s="1"/>
  <c r="Q270" i="6" a="1"/>
  <c r="Q270" i="6" s="1"/>
  <c r="Q271" i="6" a="1"/>
  <c r="Q271" i="6"/>
  <c r="Q272" i="6" a="1"/>
  <c r="Q272" i="6" s="1"/>
  <c r="Q273" i="6" a="1"/>
  <c r="Q273" i="6"/>
  <c r="Q274" i="6" a="1"/>
  <c r="Q274" i="6" s="1"/>
  <c r="Q275" i="6" a="1"/>
  <c r="Q275" i="6" s="1"/>
  <c r="Q276" i="6" a="1"/>
  <c r="Q276" i="6"/>
  <c r="Q277" i="6" a="1"/>
  <c r="Q277" i="6" s="1"/>
  <c r="Q278" i="6" a="1"/>
  <c r="Q278" i="6" s="1"/>
  <c r="Q279" i="6" a="1"/>
  <c r="Q279" i="6" s="1"/>
  <c r="Q280" i="6" a="1"/>
  <c r="Q280" i="6" s="1"/>
  <c r="Q281" i="6" a="1"/>
  <c r="Q281" i="6" s="1"/>
  <c r="Q282" i="6" a="1"/>
  <c r="Q282" i="6" s="1"/>
  <c r="Q283" i="6" a="1"/>
  <c r="Q283" i="6" s="1"/>
  <c r="Q284" i="6" a="1"/>
  <c r="Q284" i="6"/>
  <c r="Q285" i="6" a="1"/>
  <c r="Q285" i="6" s="1"/>
  <c r="Q286" i="6" a="1"/>
  <c r="Q286" i="6"/>
  <c r="Q287" i="6" a="1"/>
  <c r="Q287" i="6"/>
  <c r="Q288" i="6" a="1"/>
  <c r="Q288" i="6"/>
  <c r="Q289" i="6" a="1"/>
  <c r="Q289" i="6"/>
  <c r="Q290" i="6" a="1"/>
  <c r="Q290" i="6" s="1"/>
  <c r="Q291" i="6" a="1"/>
  <c r="Q291" i="6" s="1"/>
  <c r="Q292" i="6" a="1"/>
  <c r="Q292" i="6" s="1"/>
  <c r="Q293" i="6" a="1"/>
  <c r="Q293" i="6" s="1"/>
  <c r="Q294" i="6" a="1"/>
  <c r="Q294" i="6"/>
  <c r="Q295" i="6" a="1"/>
  <c r="Q295" i="6" s="1"/>
  <c r="Q296" i="6" a="1"/>
  <c r="Q296" i="6"/>
  <c r="Q297" i="6" a="1"/>
  <c r="Q297" i="6" s="1"/>
  <c r="Q298" i="6" a="1"/>
  <c r="Q298" i="6" s="1"/>
  <c r="Q299" i="6" a="1"/>
  <c r="Q299" i="6" s="1"/>
  <c r="Q300" i="6" a="1"/>
  <c r="Q300" i="6" s="1"/>
  <c r="Q301" i="6" a="1"/>
  <c r="Q301" i="6" s="1"/>
  <c r="Q302" i="6" a="1"/>
  <c r="Q302" i="6" s="1"/>
  <c r="Q303" i="6" a="1"/>
  <c r="Q303" i="6"/>
  <c r="Q304" i="6" a="1"/>
  <c r="Q304" i="6" s="1"/>
  <c r="Q305" i="6" a="1"/>
  <c r="Q305" i="6" s="1"/>
  <c r="Q306" i="6" a="1"/>
  <c r="Q306" i="6" s="1"/>
  <c r="Q307" i="6" a="1"/>
  <c r="Q307" i="6" s="1"/>
  <c r="Q308" i="6" a="1"/>
  <c r="Q308" i="6" s="1"/>
  <c r="Q309" i="6" a="1"/>
  <c r="Q309" i="6" s="1"/>
  <c r="Q310" i="6" a="1"/>
  <c r="Q310" i="6" s="1"/>
  <c r="Q311" i="6" a="1"/>
  <c r="Q311" i="6" s="1"/>
  <c r="Q312" i="6" a="1"/>
  <c r="Q312" i="6"/>
  <c r="Q313" i="6" a="1"/>
  <c r="Q313" i="6" s="1"/>
  <c r="Q314" i="6" a="1"/>
  <c r="Q314" i="6" s="1"/>
  <c r="Q315" i="6" a="1"/>
  <c r="Q315" i="6" s="1"/>
  <c r="Q316" i="6" a="1"/>
  <c r="Q316" i="6" s="1"/>
  <c r="Q317" i="6" a="1"/>
  <c r="Q317" i="6" s="1"/>
  <c r="Q318" i="6" a="1"/>
  <c r="Q318" i="6" s="1"/>
  <c r="Q319" i="6" a="1"/>
  <c r="Q319" i="6"/>
  <c r="Q320" i="6" a="1"/>
  <c r="Q320" i="6" s="1"/>
  <c r="Q321" i="6" a="1"/>
  <c r="Q321" i="6"/>
  <c r="Q322" i="6" a="1"/>
  <c r="Q322" i="6" s="1"/>
  <c r="Q323" i="6" a="1"/>
  <c r="Q323" i="6" s="1"/>
  <c r="Q324" i="6" a="1"/>
  <c r="Q324" i="6" s="1"/>
  <c r="Q325" i="6" a="1"/>
  <c r="Q325" i="6" s="1"/>
  <c r="Q326" i="6" a="1"/>
  <c r="Q326" i="6"/>
  <c r="Q327" i="6" a="1"/>
  <c r="Q327" i="6" s="1"/>
  <c r="Q328" i="6" a="1"/>
  <c r="Q328" i="6" s="1"/>
  <c r="Q329" i="6" a="1"/>
  <c r="Q329" i="6" s="1"/>
  <c r="Q330" i="6" a="1"/>
  <c r="Q330" i="6" s="1"/>
  <c r="Q331" i="6" a="1"/>
  <c r="Q331" i="6" s="1"/>
  <c r="Q332" i="6" a="1"/>
  <c r="Q332" i="6" s="1"/>
  <c r="Q333" i="6" a="1"/>
  <c r="Q333" i="6" s="1"/>
  <c r="Q334" i="6" a="1"/>
  <c r="Q334" i="6"/>
  <c r="Q335" i="6" a="1"/>
  <c r="Q335" i="6" s="1"/>
  <c r="Q336" i="6" a="1"/>
  <c r="Q336" i="6"/>
  <c r="Q337" i="6" a="1"/>
  <c r="Q337" i="6" s="1"/>
  <c r="Q338" i="6" a="1"/>
  <c r="Q338" i="6" s="1"/>
  <c r="Q339" i="6" a="1"/>
  <c r="Q339" i="6" s="1"/>
  <c r="Q340" i="6" a="1"/>
  <c r="Q340" i="6" s="1"/>
  <c r="Q341" i="6" a="1"/>
  <c r="Q341" i="6" s="1"/>
  <c r="Q342" i="6" a="1"/>
  <c r="Q342" i="6" s="1"/>
  <c r="Q343" i="6" a="1"/>
  <c r="Q343" i="6"/>
  <c r="Q344" i="6" a="1"/>
  <c r="Q344" i="6" s="1"/>
  <c r="Q345" i="6" a="1"/>
  <c r="Q345" i="6" s="1"/>
  <c r="Q346" i="6" a="1"/>
  <c r="Q346" i="6" s="1"/>
  <c r="Q347" i="6" a="1"/>
  <c r="Q347" i="6" s="1"/>
  <c r="Q348" i="6" a="1"/>
  <c r="Q348" i="6" s="1"/>
  <c r="Q349" i="6" a="1"/>
  <c r="Q349" i="6" s="1"/>
  <c r="Q350" i="6" a="1"/>
  <c r="Q350" i="6" s="1"/>
  <c r="Q351" i="6" a="1"/>
  <c r="Q351" i="6"/>
  <c r="Q352" i="6" a="1"/>
  <c r="Q352" i="6" s="1"/>
  <c r="Q353" i="6" a="1"/>
  <c r="Q353" i="6" s="1"/>
  <c r="Q354" i="6" a="1"/>
  <c r="Q354" i="6" s="1"/>
  <c r="Q355" i="6" a="1"/>
  <c r="Q355" i="6" s="1"/>
  <c r="Q356" i="6" a="1"/>
  <c r="Q356" i="6" s="1"/>
  <c r="Q357" i="6" a="1"/>
  <c r="Q357" i="6" s="1"/>
  <c r="Q358" i="6" a="1"/>
  <c r="Q358" i="6" s="1"/>
  <c r="Q359" i="6" a="1"/>
  <c r="Q359" i="6" s="1"/>
  <c r="Q360" i="6" a="1"/>
  <c r="Q360" i="6" s="1"/>
  <c r="Q361" i="6" a="1"/>
  <c r="Q361" i="6" s="1"/>
  <c r="Q362" i="6" a="1"/>
  <c r="Q362" i="6" s="1"/>
  <c r="Q363" i="6" a="1"/>
  <c r="Q363" i="6" s="1"/>
  <c r="Q364" i="6" a="1"/>
  <c r="Q364" i="6" s="1"/>
  <c r="Q365" i="6" a="1"/>
  <c r="Q365" i="6" s="1"/>
  <c r="Q366" i="6" a="1"/>
  <c r="Q366" i="6" s="1"/>
  <c r="Q367" i="6" a="1"/>
  <c r="Q367" i="6" s="1"/>
  <c r="Q368" i="6" a="1"/>
  <c r="Q368" i="6" s="1"/>
  <c r="Q369" i="6" a="1"/>
  <c r="Q369" i="6"/>
  <c r="Q370" i="6" a="1"/>
  <c r="Q370" i="6" s="1"/>
  <c r="Q371" i="6" a="1"/>
  <c r="Q371" i="6" s="1"/>
  <c r="Q372" i="6" a="1"/>
  <c r="Q372" i="6" s="1"/>
  <c r="Q373" i="6" a="1"/>
  <c r="Q373" i="6" s="1"/>
  <c r="Q374" i="6" a="1"/>
  <c r="Q374" i="6"/>
  <c r="Q375" i="6" a="1"/>
  <c r="Q375" i="6"/>
  <c r="Q376" i="6" a="1"/>
  <c r="Q376" i="6" s="1"/>
  <c r="Q377" i="6" a="1"/>
  <c r="Q377" i="6" s="1"/>
  <c r="Q378" i="6" a="1"/>
  <c r="Q378" i="6" s="1"/>
  <c r="Q379" i="6" a="1"/>
  <c r="Q379" i="6" s="1"/>
  <c r="Q380" i="6" a="1"/>
  <c r="Q380" i="6" s="1"/>
  <c r="Q381" i="6" a="1"/>
  <c r="Q381" i="6" s="1"/>
  <c r="Q382" i="6" a="1"/>
  <c r="Q382" i="6"/>
  <c r="Q383" i="6" a="1"/>
  <c r="Q383" i="6" s="1"/>
  <c r="Q384" i="6" a="1"/>
  <c r="Q384" i="6" s="1"/>
  <c r="Q385" i="6" a="1"/>
  <c r="Q385" i="6"/>
  <c r="Q386" i="6" a="1"/>
  <c r="Q386" i="6" s="1"/>
  <c r="Q387" i="6" a="1"/>
  <c r="Q387" i="6" s="1"/>
  <c r="Q388" i="6" a="1"/>
  <c r="Q388" i="6" s="1"/>
  <c r="Q389" i="6" a="1"/>
  <c r="Q389" i="6" s="1"/>
  <c r="Q390" i="6" a="1"/>
  <c r="Q390" i="6" s="1"/>
  <c r="Q391" i="6" a="1"/>
  <c r="Q391" i="6" s="1"/>
  <c r="Q392" i="6" a="1"/>
  <c r="Q392" i="6" s="1"/>
  <c r="Q393" i="6" a="1"/>
  <c r="Q393" i="6"/>
  <c r="Q394" i="6" a="1"/>
  <c r="Q394" i="6" s="1"/>
  <c r="Q395" i="6" a="1"/>
  <c r="Q395" i="6" s="1"/>
  <c r="Q396" i="6" a="1"/>
  <c r="Q396" i="6" s="1"/>
  <c r="Q397" i="6" a="1"/>
  <c r="Q397" i="6" s="1"/>
  <c r="Q398" i="6" a="1"/>
  <c r="Q398" i="6"/>
  <c r="Q399" i="6" a="1"/>
  <c r="Q399" i="6"/>
  <c r="Q400" i="6" a="1"/>
  <c r="Q400" i="6" s="1"/>
  <c r="Q401" i="6" a="1"/>
  <c r="Q401" i="6" s="1"/>
  <c r="Q402" i="6" a="1"/>
  <c r="Q402" i="6" s="1"/>
  <c r="Q403" i="6" a="1"/>
  <c r="Q403" i="6" s="1"/>
  <c r="Q404" i="6" a="1"/>
  <c r="Q404" i="6" s="1"/>
  <c r="Q405" i="6" a="1"/>
  <c r="Q405" i="6" s="1"/>
  <c r="Q406" i="6" a="1"/>
  <c r="Q406" i="6" s="1"/>
  <c r="Q407" i="6" a="1"/>
  <c r="Q407" i="6" s="1"/>
  <c r="Q408" i="6" a="1"/>
  <c r="Q408" i="6" s="1"/>
  <c r="Q409" i="6" a="1"/>
  <c r="Q409" i="6" s="1"/>
  <c r="Q410" i="6" a="1"/>
  <c r="Q410" i="6" s="1"/>
  <c r="Q411" i="6" a="1"/>
  <c r="Q411" i="6" s="1"/>
  <c r="Q412" i="6" a="1"/>
  <c r="Q412" i="6"/>
  <c r="Q413" i="6" a="1"/>
  <c r="Q413" i="6" s="1"/>
  <c r="Q414" i="6" a="1"/>
  <c r="Q414" i="6" s="1"/>
  <c r="Q415" i="6" a="1"/>
  <c r="Q415" i="6"/>
  <c r="Q416" i="6" a="1"/>
  <c r="Q416" i="6" s="1"/>
  <c r="Q417" i="6" a="1"/>
  <c r="Q417" i="6" s="1"/>
  <c r="Q418" i="6" a="1"/>
  <c r="Q418" i="6" s="1"/>
  <c r="Q419" i="6" a="1"/>
  <c r="Q419" i="6" s="1"/>
  <c r="Q420" i="6" a="1"/>
  <c r="Q420" i="6" s="1"/>
  <c r="Q421" i="6" a="1"/>
  <c r="Q421" i="6" s="1"/>
  <c r="Q422" i="6" a="1"/>
  <c r="Q422" i="6"/>
  <c r="Q423" i="6" a="1"/>
  <c r="Q423" i="6" s="1"/>
  <c r="Q424" i="6" a="1"/>
  <c r="Q424" i="6"/>
  <c r="Q425" i="6" a="1"/>
  <c r="Q425" i="6" s="1"/>
  <c r="Q426" i="6" a="1"/>
  <c r="Q426" i="6" s="1"/>
  <c r="Q427" i="6" a="1"/>
  <c r="Q427" i="6" s="1"/>
  <c r="Q428" i="6" a="1"/>
  <c r="Q428" i="6" s="1"/>
  <c r="Q429" i="6" a="1"/>
  <c r="Q429" i="6" s="1"/>
  <c r="Q430" i="6" a="1"/>
  <c r="Q430" i="6" s="1"/>
  <c r="Q431" i="6" a="1"/>
  <c r="Q431" i="6"/>
  <c r="Q432" i="6" a="1"/>
  <c r="Q432" i="6" s="1"/>
  <c r="Q433" i="6" a="1"/>
  <c r="Q433" i="6"/>
  <c r="Q434" i="6" a="1"/>
  <c r="Q434" i="6" s="1"/>
  <c r="Q435" i="6" a="1"/>
  <c r="Q435" i="6" s="1"/>
  <c r="Q436" i="6" a="1"/>
  <c r="Q436" i="6"/>
  <c r="Q437" i="6" a="1"/>
  <c r="Q437" i="6" s="1"/>
  <c r="Q438" i="6" a="1"/>
  <c r="Q438" i="6" s="1"/>
  <c r="Q439" i="6" a="1"/>
  <c r="Q439" i="6" s="1"/>
  <c r="Q440" i="6" a="1"/>
  <c r="Q440" i="6" s="1"/>
  <c r="Q441" i="6" a="1"/>
  <c r="Q441" i="6"/>
  <c r="Q442" i="6" a="1"/>
  <c r="Q442" i="6" s="1"/>
  <c r="Q443" i="6" a="1"/>
  <c r="Q443" i="6" s="1"/>
  <c r="Q444" i="6" a="1"/>
  <c r="Q444" i="6"/>
  <c r="Q445" i="6" a="1"/>
  <c r="Q445" i="6" s="1"/>
  <c r="Q446" i="6" a="1"/>
  <c r="Q446" i="6" s="1"/>
  <c r="Q447" i="6" a="1"/>
  <c r="Q447" i="6"/>
  <c r="Q448" i="6" a="1"/>
  <c r="Q448" i="6"/>
  <c r="Q449" i="6" a="1"/>
  <c r="Q449" i="6" s="1"/>
  <c r="Q450" i="6" a="1"/>
  <c r="Q450" i="6" s="1"/>
  <c r="Q451" i="6" a="1"/>
  <c r="Q451" i="6" s="1"/>
  <c r="Q452" i="6" a="1"/>
  <c r="Q452" i="6" s="1"/>
  <c r="Q453" i="6" a="1"/>
  <c r="Q453" i="6" s="1"/>
  <c r="Q454" i="6" a="1"/>
  <c r="Q454" i="6" s="1"/>
  <c r="Q455" i="6" a="1"/>
  <c r="Q455" i="6" s="1"/>
  <c r="Q456" i="6" a="1"/>
  <c r="Q456" i="6" s="1"/>
  <c r="Q457" i="6" a="1"/>
  <c r="Q457" i="6" s="1"/>
  <c r="Q458" i="6" a="1"/>
  <c r="Q458" i="6" s="1"/>
  <c r="Q459" i="6" a="1"/>
  <c r="Q459" i="6" s="1"/>
  <c r="Q460" i="6" a="1"/>
  <c r="Q460" i="6"/>
  <c r="Q461" i="6" a="1"/>
  <c r="Q461" i="6" s="1"/>
  <c r="Q462" i="6" a="1"/>
  <c r="Q462" i="6" s="1"/>
  <c r="Q463" i="6" a="1"/>
  <c r="Q463" i="6" s="1"/>
  <c r="Q464" i="6" a="1"/>
  <c r="Q464" i="6" s="1"/>
  <c r="Q465" i="6" a="1"/>
  <c r="Q465" i="6"/>
  <c r="Q466" i="6" a="1"/>
  <c r="Q466" i="6" s="1"/>
  <c r="Q467" i="6" a="1"/>
  <c r="Q467" i="6" s="1"/>
  <c r="Q468" i="6" a="1"/>
  <c r="Q468" i="6" s="1"/>
  <c r="Q469" i="6" a="1"/>
  <c r="Q469" i="6" s="1"/>
  <c r="Q470" i="6" a="1"/>
  <c r="Q470" i="6"/>
  <c r="Q471" i="6" a="1"/>
  <c r="Q471" i="6" s="1"/>
  <c r="Q472" i="6" a="1"/>
  <c r="Q472" i="6"/>
  <c r="Q473" i="6" a="1"/>
  <c r="Q473" i="6"/>
  <c r="Q474" i="6" a="1"/>
  <c r="Q474" i="6" s="1"/>
  <c r="Q475" i="6" a="1"/>
  <c r="Q475" i="6" s="1"/>
  <c r="Q476" i="6" a="1"/>
  <c r="Q476" i="6" s="1"/>
  <c r="Q477" i="6" a="1"/>
  <c r="Q477" i="6" s="1"/>
  <c r="Q478" i="6" a="1"/>
  <c r="Q478" i="6" s="1"/>
  <c r="Q479" i="6" a="1"/>
  <c r="Q479" i="6" s="1"/>
  <c r="Q480" i="6" a="1"/>
  <c r="Q480" i="6"/>
  <c r="Q481" i="6" a="1"/>
  <c r="Q481" i="6" s="1"/>
  <c r="Q482" i="6" a="1"/>
  <c r="Q482" i="6" s="1"/>
  <c r="Q483" i="6" a="1"/>
  <c r="Q483" i="6" s="1"/>
  <c r="Q484" i="6" a="1"/>
  <c r="Q484" i="6"/>
  <c r="Q485" i="6" a="1"/>
  <c r="Q485" i="6" s="1"/>
  <c r="Q486" i="6" a="1"/>
  <c r="Q486" i="6" s="1"/>
  <c r="Q487" i="6" a="1"/>
  <c r="Q487" i="6" s="1"/>
  <c r="Q488" i="6" a="1"/>
  <c r="Q488" i="6" s="1"/>
  <c r="Q489" i="6" a="1"/>
  <c r="Q489" i="6" s="1"/>
  <c r="Q490" i="6" a="1"/>
  <c r="Q490" i="6" s="1"/>
  <c r="Q491" i="6" a="1"/>
  <c r="Q491" i="6" s="1"/>
  <c r="Q492" i="6" a="1"/>
  <c r="Q492" i="6" s="1"/>
  <c r="Q493" i="6" a="1"/>
  <c r="Q493" i="6" s="1"/>
  <c r="Q494" i="6" a="1"/>
  <c r="Q494" i="6" s="1"/>
  <c r="Q495" i="6" a="1"/>
  <c r="Q495" i="6" s="1"/>
  <c r="Q496" i="6" a="1"/>
  <c r="Q496" i="6" s="1"/>
  <c r="Q497" i="6" a="1"/>
  <c r="Q497" i="6"/>
  <c r="Q498" i="6" a="1"/>
  <c r="Q498" i="6" s="1"/>
  <c r="Q499" i="6" a="1"/>
  <c r="Q499" i="6" s="1"/>
  <c r="Q500" i="6" a="1"/>
  <c r="Q500" i="6" s="1"/>
  <c r="Q501" i="6" a="1"/>
  <c r="Q501" i="6" s="1"/>
  <c r="Q502" i="6" a="1"/>
  <c r="Q502" i="6" s="1"/>
  <c r="Q503" i="6" a="1"/>
  <c r="Q503" i="6"/>
  <c r="Q504" i="6" a="1"/>
  <c r="Q504" i="6" s="1"/>
  <c r="Q505" i="6" a="1"/>
  <c r="Q505" i="6" s="1"/>
  <c r="Q506" i="6" a="1"/>
  <c r="Q506" i="6" s="1"/>
  <c r="Q507" i="6" a="1"/>
  <c r="Q507" i="6" s="1"/>
  <c r="Q508" i="6" a="1"/>
  <c r="Q508" i="6" s="1"/>
  <c r="Q509" i="6" a="1"/>
  <c r="Q509" i="6" s="1"/>
  <c r="Q510" i="6" a="1"/>
  <c r="Q510" i="6"/>
  <c r="Q511" i="6" a="1"/>
  <c r="Q511" i="6"/>
  <c r="Q512" i="6" a="1"/>
  <c r="Q512" i="6" s="1"/>
  <c r="Q513" i="6" a="1"/>
  <c r="Q513" i="6" s="1"/>
  <c r="Q514" i="6" a="1"/>
  <c r="Q514" i="6" s="1"/>
  <c r="Q515" i="6" a="1"/>
  <c r="Q515" i="6" s="1"/>
  <c r="Q516" i="6" a="1"/>
  <c r="Q516" i="6" s="1"/>
  <c r="Q517" i="6" a="1"/>
  <c r="Q517" i="6" s="1"/>
  <c r="Q518" i="6" a="1"/>
  <c r="Q518" i="6" s="1"/>
  <c r="Q519" i="6" a="1"/>
  <c r="Q519" i="6"/>
  <c r="Q520" i="6" a="1"/>
  <c r="Q520" i="6" s="1"/>
  <c r="Q521" i="6" a="1"/>
  <c r="Q521" i="6" s="1"/>
  <c r="Q522" i="6" a="1"/>
  <c r="Q522" i="6" s="1"/>
  <c r="Q523" i="6" a="1"/>
  <c r="Q523" i="6" s="1"/>
  <c r="Q524" i="6" a="1"/>
  <c r="Q524" i="6" s="1"/>
  <c r="Q525" i="6" a="1"/>
  <c r="Q525" i="6" s="1"/>
  <c r="Q526" i="6" a="1"/>
  <c r="Q526" i="6" s="1"/>
  <c r="Q527" i="6" a="1"/>
  <c r="Q527" i="6" s="1"/>
  <c r="Q528" i="6" a="1"/>
  <c r="Q528" i="6"/>
  <c r="Q529" i="6" a="1"/>
  <c r="Q529" i="6" s="1"/>
  <c r="Q530" i="6" a="1"/>
  <c r="Q530" i="6" s="1"/>
  <c r="Q531" i="6" a="1"/>
  <c r="Q531" i="6" s="1"/>
  <c r="Q532" i="6" a="1"/>
  <c r="Q532" i="6"/>
  <c r="Q533" i="6" a="1"/>
  <c r="Q533" i="6" s="1"/>
  <c r="Q534" i="6" a="1"/>
  <c r="Q534" i="6" s="1"/>
  <c r="Q535" i="6" a="1"/>
  <c r="Q535" i="6" s="1"/>
  <c r="Q536" i="6" a="1"/>
  <c r="Q536" i="6" s="1"/>
  <c r="Q537" i="6" a="1"/>
  <c r="Q537" i="6" s="1"/>
  <c r="Q538" i="6" a="1"/>
  <c r="Q538" i="6" s="1"/>
  <c r="Q539" i="6" a="1"/>
  <c r="Q539" i="6" s="1"/>
  <c r="Q540" i="6" a="1"/>
  <c r="Q540" i="6" s="1"/>
  <c r="Q541" i="6" a="1"/>
  <c r="Q541" i="6" s="1"/>
  <c r="Q542" i="6" a="1"/>
  <c r="Q542" i="6" s="1"/>
  <c r="Q543" i="6" a="1"/>
  <c r="Q543" i="6"/>
  <c r="Q544" i="6" a="1"/>
  <c r="Q544" i="6"/>
  <c r="Q545" i="6" a="1"/>
  <c r="Q545" i="6" s="1"/>
  <c r="Q546" i="6" a="1"/>
  <c r="Q546" i="6" s="1"/>
  <c r="Q547" i="6" a="1"/>
  <c r="Q547" i="6" s="1"/>
  <c r="Q548" i="6" a="1"/>
  <c r="Q548" i="6"/>
  <c r="Q549" i="6" a="1"/>
  <c r="Q549" i="6" s="1"/>
  <c r="Q550" i="6" a="1"/>
  <c r="Q550" i="6" s="1"/>
  <c r="Q551" i="6" a="1"/>
  <c r="Q551" i="6"/>
  <c r="Q552" i="6" a="1"/>
  <c r="Q552" i="6" s="1"/>
  <c r="Q553" i="6" a="1"/>
  <c r="Q553" i="6"/>
  <c r="Q554" i="6" a="1"/>
  <c r="Q554" i="6" s="1"/>
  <c r="Q555" i="6" a="1"/>
  <c r="Q555" i="6" s="1"/>
  <c r="Q556" i="6" a="1"/>
  <c r="Q556" i="6"/>
  <c r="Q557" i="6" a="1"/>
  <c r="Q557" i="6"/>
  <c r="Q558" i="6" a="1"/>
  <c r="Q558" i="6" s="1"/>
  <c r="Q559" i="6" a="1"/>
  <c r="Q559" i="6" s="1"/>
  <c r="Q560" i="6" a="1"/>
  <c r="Q560" i="6" s="1"/>
  <c r="Q561" i="6" a="1"/>
  <c r="Q561" i="6"/>
  <c r="Q562" i="6" a="1"/>
  <c r="Q562" i="6" s="1"/>
  <c r="Q563" i="6" a="1"/>
  <c r="Q563" i="6" s="1"/>
  <c r="Q564" i="6" a="1"/>
  <c r="Q564" i="6" s="1"/>
  <c r="Q565" i="6" a="1"/>
  <c r="Q565" i="6"/>
  <c r="Q566" i="6" a="1"/>
  <c r="Q566" i="6"/>
  <c r="Q567" i="6" a="1"/>
  <c r="Q567" i="6" s="1"/>
  <c r="Q568" i="6" a="1"/>
  <c r="Q568" i="6"/>
  <c r="Q569" i="6" a="1"/>
  <c r="Q569" i="6" s="1"/>
  <c r="Q570" i="6" a="1"/>
  <c r="Q570" i="6" s="1"/>
  <c r="Q571" i="6" a="1"/>
  <c r="Q571" i="6" s="1"/>
  <c r="Q572" i="6" a="1"/>
  <c r="Q572" i="6" s="1"/>
  <c r="Q573" i="6" a="1"/>
  <c r="Q573" i="6" s="1"/>
  <c r="Q574" i="6" a="1"/>
  <c r="Q574" i="6" s="1"/>
  <c r="Q575" i="6" a="1"/>
  <c r="Q575" i="6"/>
  <c r="Q576" i="6" a="1"/>
  <c r="Q576" i="6" s="1"/>
  <c r="Q577" i="6" a="1"/>
  <c r="Q577" i="6"/>
  <c r="Q578" i="6" a="1"/>
  <c r="Q578" i="6" s="1"/>
  <c r="Q579" i="6" a="1"/>
  <c r="Q579" i="6" s="1"/>
  <c r="Q580" i="6" a="1"/>
  <c r="Q580" i="6"/>
  <c r="Q581" i="6" a="1"/>
  <c r="Q581" i="6" s="1"/>
  <c r="Q582" i="6" a="1"/>
  <c r="Q582" i="6" s="1"/>
  <c r="Q583" i="6" a="1"/>
  <c r="Q583" i="6" s="1"/>
  <c r="Q584" i="6" a="1"/>
  <c r="Q584" i="6" s="1"/>
  <c r="Q585" i="6" a="1"/>
  <c r="Q585" i="6"/>
  <c r="Q586" i="6" a="1"/>
  <c r="Q586" i="6" s="1"/>
  <c r="Q587" i="6" a="1"/>
  <c r="Q587" i="6" s="1"/>
  <c r="Q588" i="6" a="1"/>
  <c r="Q588" i="6"/>
  <c r="Q589" i="6" a="1"/>
  <c r="Q589" i="6"/>
  <c r="Q590" i="6" a="1"/>
  <c r="Q590" i="6" s="1"/>
  <c r="Q591" i="6" a="1"/>
  <c r="Q591" i="6" s="1"/>
  <c r="Q592" i="6" a="1"/>
  <c r="Q592" i="6" s="1"/>
  <c r="Q593" i="6" a="1"/>
  <c r="Q593" i="6"/>
  <c r="Q594" i="6" a="1"/>
  <c r="Q594" i="6" s="1"/>
  <c r="Q595" i="6" a="1"/>
  <c r="Q595" i="6" s="1"/>
  <c r="Q596" i="6" a="1"/>
  <c r="Q596" i="6" s="1"/>
  <c r="Q597" i="6" a="1"/>
  <c r="Q597" i="6"/>
  <c r="Q598" i="6" a="1"/>
  <c r="Q598" i="6" s="1"/>
  <c r="Q599" i="6" a="1"/>
  <c r="Q599" i="6" s="1"/>
  <c r="Q600" i="6" a="1"/>
  <c r="Q600" i="6"/>
  <c r="Q601" i="6" a="1"/>
  <c r="Q601" i="6"/>
  <c r="Q602" i="6" a="1"/>
  <c r="Q602" i="6" s="1"/>
  <c r="Q603" i="6" a="1"/>
  <c r="Q603" i="6" s="1"/>
  <c r="Q604" i="6" a="1"/>
  <c r="Q604" i="6" s="1"/>
  <c r="Q605" i="6" a="1"/>
  <c r="Q605" i="6"/>
  <c r="Q606" i="6" a="1"/>
  <c r="Q606" i="6" s="1"/>
  <c r="Q607" i="6" a="1"/>
  <c r="Q607" i="6" s="1"/>
  <c r="Q608" i="6" a="1"/>
  <c r="Q608" i="6" s="1"/>
  <c r="Q609" i="6" a="1"/>
  <c r="Q609" i="6"/>
  <c r="Q610" i="6" a="1"/>
  <c r="Q610" i="6" s="1"/>
  <c r="Q611" i="6" a="1"/>
  <c r="Q611" i="6" s="1"/>
  <c r="Q612" i="6" a="1"/>
  <c r="Q612" i="6" s="1"/>
  <c r="Q613" i="6" a="1"/>
  <c r="Q613" i="6"/>
  <c r="Q614" i="6" a="1"/>
  <c r="Q614" i="6" s="1"/>
  <c r="Q615" i="6" a="1"/>
  <c r="Q615" i="6" s="1"/>
  <c r="Q616" i="6" a="1"/>
  <c r="Q616" i="6"/>
  <c r="Q617" i="6" a="1"/>
  <c r="Q617" i="6" s="1"/>
  <c r="Q618" i="6" a="1"/>
  <c r="Q618" i="6" s="1"/>
  <c r="Q619" i="6" a="1"/>
  <c r="Q619" i="6" s="1"/>
  <c r="Q620" i="6" a="1"/>
  <c r="Q620" i="6" s="1"/>
  <c r="Q621" i="6" a="1"/>
  <c r="Q621" i="6" s="1"/>
  <c r="Q622" i="6" a="1"/>
  <c r="Q622" i="6" s="1"/>
  <c r="Q623" i="6" a="1"/>
  <c r="Q623" i="6"/>
  <c r="Q624" i="6" a="1"/>
  <c r="Q624" i="6"/>
  <c r="Q625" i="6" a="1"/>
  <c r="Q625" i="6" s="1"/>
  <c r="Q626" i="6" a="1"/>
  <c r="Q626" i="6" s="1"/>
  <c r="Q627" i="6" a="1"/>
  <c r="Q627" i="6" s="1"/>
  <c r="Q628" i="6" a="1"/>
  <c r="Q628" i="6" s="1"/>
  <c r="Q629" i="6" a="1"/>
  <c r="Q629" i="6" s="1"/>
  <c r="Q630" i="6" a="1"/>
  <c r="Q630" i="6" s="1"/>
  <c r="Q631" i="6" a="1"/>
  <c r="Q631" i="6" s="1"/>
  <c r="Q632" i="6" a="1"/>
  <c r="Q632" i="6" s="1"/>
  <c r="Q633" i="6" a="1"/>
  <c r="Q633" i="6"/>
  <c r="Q634" i="6" a="1"/>
  <c r="Q634" i="6" s="1"/>
  <c r="Q635" i="6" a="1"/>
  <c r="Q635" i="6" s="1"/>
  <c r="Q636" i="6" a="1"/>
  <c r="Q636" i="6" s="1"/>
  <c r="Q637" i="6" a="1"/>
  <c r="Q637" i="6" s="1"/>
  <c r="Q638" i="6" a="1"/>
  <c r="Q638" i="6" s="1"/>
  <c r="Q639" i="6" a="1"/>
  <c r="Q639" i="6" s="1"/>
  <c r="Q640" i="6" a="1"/>
  <c r="Q640" i="6" s="1"/>
  <c r="Q641" i="6" a="1"/>
  <c r="Q641" i="6"/>
  <c r="Q642" i="6" a="1"/>
  <c r="Q642" i="6" s="1"/>
  <c r="Q643" i="6" a="1"/>
  <c r="Q643" i="6" s="1"/>
  <c r="Q644" i="6" a="1"/>
  <c r="Q644" i="6" s="1"/>
  <c r="Q645" i="6" a="1"/>
  <c r="Q645" i="6" s="1"/>
  <c r="Q646" i="6" a="1"/>
  <c r="Q646" i="6"/>
  <c r="Q647" i="6" a="1"/>
  <c r="Q647" i="6" s="1"/>
  <c r="Q648" i="6" a="1"/>
  <c r="Q648" i="6" s="1"/>
  <c r="Q649" i="6" a="1"/>
  <c r="Q649" i="6"/>
  <c r="Q650" i="6" a="1"/>
  <c r="Q650" i="6" s="1"/>
  <c r="Q651" i="6" a="1"/>
  <c r="Q651" i="6" s="1"/>
  <c r="Q652" i="6" a="1"/>
  <c r="Q652" i="6" s="1"/>
  <c r="Q653" i="6" a="1"/>
  <c r="Q653" i="6"/>
  <c r="Q654" i="6" a="1"/>
  <c r="Q654" i="6" s="1"/>
  <c r="Q655" i="6" a="1"/>
  <c r="Q655" i="6" s="1"/>
  <c r="Q656" i="6" a="1"/>
  <c r="Q656" i="6" s="1"/>
  <c r="Q657" i="6" a="1"/>
  <c r="Q657" i="6" s="1"/>
  <c r="Q658" i="6" a="1"/>
  <c r="Q658" i="6" s="1"/>
  <c r="Q659" i="6" a="1"/>
  <c r="Q659" i="6" s="1"/>
  <c r="Q660" i="6" a="1"/>
  <c r="Q660" i="6" s="1"/>
  <c r="Q661" i="6" a="1"/>
  <c r="Q661" i="6"/>
  <c r="Q662" i="6" a="1"/>
  <c r="Q662" i="6"/>
  <c r="Q663" i="6" a="1"/>
  <c r="Q663" i="6" s="1"/>
  <c r="Q664" i="6" a="1"/>
  <c r="Q664" i="6" s="1"/>
  <c r="Q665" i="6" a="1"/>
  <c r="Q665" i="6" s="1"/>
  <c r="Q666" i="6" a="1"/>
  <c r="Q666" i="6" s="1"/>
  <c r="Q667" i="6" a="1"/>
  <c r="Q667" i="6" s="1"/>
  <c r="Q668" i="6" a="1"/>
  <c r="Q668" i="6" s="1"/>
  <c r="Q669" i="6" a="1"/>
  <c r="Q669" i="6"/>
  <c r="Q670" i="6" a="1"/>
  <c r="Q670" i="6" s="1"/>
  <c r="Q671" i="6" a="1"/>
  <c r="Q671" i="6"/>
  <c r="Q672" i="6" a="1"/>
  <c r="Q672" i="6" s="1"/>
  <c r="Q673" i="6" a="1"/>
  <c r="Q673" i="6"/>
  <c r="Q674" i="6" a="1"/>
  <c r="Q674" i="6" s="1"/>
  <c r="Q675" i="6" a="1"/>
  <c r="Q675" i="6" s="1"/>
  <c r="Q676" i="6" a="1"/>
  <c r="Q676" i="6" s="1"/>
  <c r="Q677" i="6" a="1"/>
  <c r="Q677" i="6" s="1"/>
  <c r="Q678" i="6" a="1"/>
  <c r="Q678" i="6"/>
  <c r="Q679" i="6" a="1"/>
  <c r="Q679" i="6" s="1"/>
  <c r="Q680" i="6" a="1"/>
  <c r="Q680" i="6" s="1"/>
  <c r="Q681" i="6" a="1"/>
  <c r="Q681" i="6" s="1"/>
  <c r="Q682" i="6" a="1"/>
  <c r="Q682" i="6"/>
  <c r="Q683" i="6" a="1"/>
  <c r="Q683" i="6" s="1"/>
  <c r="Q684" i="6" a="1"/>
  <c r="Q684" i="6" s="1"/>
  <c r="Q685" i="6" a="1"/>
  <c r="Q685" i="6"/>
  <c r="Q686" i="6" a="1"/>
  <c r="Q686" i="6" s="1"/>
  <c r="Q687" i="6" a="1"/>
  <c r="Q687" i="6" s="1"/>
  <c r="Q688" i="6" a="1"/>
  <c r="Q688" i="6"/>
  <c r="Q689" i="6" a="1"/>
  <c r="Q689" i="6" s="1"/>
  <c r="Q690" i="6" a="1"/>
  <c r="Q690" i="6" s="1"/>
  <c r="Q691" i="6" a="1"/>
  <c r="Q691" i="6" s="1"/>
  <c r="Q692" i="6" a="1"/>
  <c r="Q692" i="6" s="1"/>
  <c r="Q693" i="6" a="1"/>
  <c r="Q693" i="6"/>
  <c r="Q694" i="6" a="1"/>
  <c r="Q694" i="6"/>
  <c r="Q695" i="6" a="1"/>
  <c r="Q695" i="6"/>
  <c r="Q696" i="6" a="1"/>
  <c r="Q696" i="6" s="1"/>
  <c r="Q697" i="6" a="1"/>
  <c r="Q697" i="6" s="1"/>
  <c r="Q698" i="6" a="1"/>
  <c r="Q698" i="6" s="1"/>
  <c r="Q699" i="6" a="1"/>
  <c r="Q699" i="6" s="1"/>
  <c r="Q700" i="6" a="1"/>
  <c r="Q700" i="6" s="1"/>
  <c r="Q701" i="6" a="1"/>
  <c r="Q701" i="6" s="1"/>
  <c r="Q702" i="6" a="1"/>
  <c r="Q702" i="6" s="1"/>
  <c r="Q703" i="6" a="1"/>
  <c r="Q703" i="6" s="1"/>
  <c r="Q704" i="6" a="1"/>
  <c r="Q704" i="6"/>
  <c r="Q705" i="6" a="1"/>
  <c r="Q705" i="6" s="1"/>
  <c r="Q706" i="6" a="1"/>
  <c r="Q706" i="6" s="1"/>
  <c r="Q707" i="6" a="1"/>
  <c r="Q707" i="6" s="1"/>
  <c r="Q708" i="6" a="1"/>
  <c r="Q708" i="6" s="1"/>
  <c r="Q709" i="6" a="1"/>
  <c r="Q709" i="6"/>
  <c r="Q710" i="6" a="1"/>
  <c r="Q710" i="6"/>
  <c r="Q711" i="6" a="1"/>
  <c r="Q711" i="6" s="1"/>
  <c r="Q712" i="6" a="1"/>
  <c r="Q712" i="6" s="1"/>
  <c r="Q713" i="6" a="1"/>
  <c r="Q713" i="6" s="1"/>
  <c r="Q714" i="6" a="1"/>
  <c r="Q714" i="6" s="1"/>
  <c r="Q715" i="6" a="1"/>
  <c r="Q715" i="6" s="1"/>
  <c r="Q716" i="6" a="1"/>
  <c r="Q716" i="6" s="1"/>
  <c r="Q717" i="6" a="1"/>
  <c r="Q717" i="6"/>
  <c r="Q718" i="6" a="1"/>
  <c r="Q718" i="6" s="1"/>
  <c r="Q719" i="6" a="1"/>
  <c r="Q719" i="6"/>
  <c r="Q720" i="6" a="1"/>
  <c r="Q720" i="6"/>
  <c r="Q721" i="6" a="1"/>
  <c r="Q721" i="6" s="1"/>
  <c r="Q722" i="6" a="1"/>
  <c r="Q722" i="6" s="1"/>
  <c r="Q723" i="6" a="1"/>
  <c r="Q723" i="6" s="1"/>
  <c r="Q724" i="6" a="1"/>
  <c r="Q724" i="6" s="1"/>
  <c r="Q725" i="6" a="1"/>
  <c r="Q725" i="6" s="1"/>
  <c r="Q726" i="6" a="1"/>
  <c r="Q726" i="6" s="1"/>
  <c r="Q727" i="6" a="1"/>
  <c r="Q727" i="6" s="1"/>
  <c r="Q728" i="6" a="1"/>
  <c r="Q728" i="6" s="1"/>
  <c r="Q729" i="6" a="1"/>
  <c r="Q729" i="6" s="1"/>
  <c r="Q730" i="6" a="1"/>
  <c r="Q730" i="6" s="1"/>
  <c r="Q731" i="6" a="1"/>
  <c r="Q731" i="6" s="1"/>
  <c r="Q732" i="6" a="1"/>
  <c r="Q732" i="6" s="1"/>
  <c r="Q733" i="6" a="1"/>
  <c r="Q733" i="6" s="1"/>
  <c r="Q734" i="6" a="1"/>
  <c r="Q734" i="6"/>
  <c r="Q735" i="6" a="1"/>
  <c r="Q735" i="6"/>
  <c r="Q736" i="6" a="1"/>
  <c r="Q736" i="6" s="1"/>
  <c r="Q737" i="6" a="1"/>
  <c r="Q737" i="6" s="1"/>
  <c r="Q738" i="6" a="1"/>
  <c r="Q738" i="6" s="1"/>
  <c r="Q739" i="6" a="1"/>
  <c r="Q739" i="6" s="1"/>
  <c r="Q740" i="6" a="1"/>
  <c r="Q740" i="6" s="1"/>
  <c r="Q741" i="6" a="1"/>
  <c r="Q741" i="6" s="1"/>
  <c r="Q742" i="6" a="1"/>
  <c r="Q742" i="6"/>
  <c r="Q743" i="6" a="1"/>
  <c r="Q743" i="6" s="1"/>
  <c r="Q744" i="6" a="1"/>
  <c r="Q744" i="6"/>
  <c r="Q745" i="6" a="1"/>
  <c r="Q745" i="6" s="1"/>
  <c r="Q746" i="6" a="1"/>
  <c r="Q746" i="6" s="1"/>
  <c r="Q747" i="6" a="1"/>
  <c r="Q747" i="6" s="1"/>
  <c r="Q748" i="6" a="1"/>
  <c r="Q748" i="6" s="1"/>
  <c r="Q749" i="6" a="1"/>
  <c r="Q749" i="6" s="1"/>
  <c r="Q750" i="6" a="1"/>
  <c r="Q750" i="6" s="1"/>
  <c r="Q751" i="6" a="1"/>
  <c r="Q751" i="6"/>
  <c r="Q752" i="6" a="1"/>
  <c r="Q752" i="6" s="1"/>
  <c r="Q753" i="6" a="1"/>
  <c r="Q753" i="6" s="1"/>
  <c r="Q754" i="6" a="1"/>
  <c r="Q754" i="6" s="1"/>
  <c r="Q755" i="6" a="1"/>
  <c r="Q755" i="6" s="1"/>
  <c r="Q756" i="6" a="1"/>
  <c r="Q756" i="6" s="1"/>
  <c r="Q757" i="6" a="1"/>
  <c r="Q757" i="6"/>
  <c r="Q758" i="6" a="1"/>
  <c r="Q758" i="6"/>
  <c r="Q759" i="6" a="1"/>
  <c r="Q759" i="6" s="1"/>
  <c r="Q760" i="6" a="1"/>
  <c r="Q760" i="6" s="1"/>
  <c r="Q761" i="6" a="1"/>
  <c r="Q761" i="6" s="1"/>
  <c r="Q762" i="6" a="1"/>
  <c r="Q762" i="6" s="1"/>
  <c r="Q763" i="6" a="1"/>
  <c r="Q763" i="6" s="1"/>
  <c r="Q764" i="6" a="1"/>
  <c r="Q764" i="6" s="1"/>
  <c r="Q765" i="6" a="1"/>
  <c r="Q765" i="6" s="1"/>
  <c r="Q766" i="6" a="1"/>
  <c r="Q766" i="6"/>
  <c r="Q767" i="6" a="1"/>
  <c r="Q767" i="6"/>
  <c r="Q768" i="6" a="1"/>
  <c r="Q768" i="6"/>
  <c r="Q769" i="6" a="1"/>
  <c r="Q769" i="6" s="1"/>
  <c r="Q770" i="6" a="1"/>
  <c r="Q770" i="6" s="1"/>
  <c r="Q771" i="6" a="1"/>
  <c r="Q771" i="6" s="1"/>
  <c r="Q772" i="6" a="1"/>
  <c r="Q772" i="6" s="1"/>
  <c r="Q773" i="6" a="1"/>
  <c r="Q773" i="6" s="1"/>
  <c r="Q774" i="6" a="1"/>
  <c r="Q774" i="6"/>
  <c r="Q775" i="6" a="1"/>
  <c r="Q775" i="6" s="1"/>
  <c r="Q776" i="6" a="1"/>
  <c r="Q776" i="6" s="1"/>
  <c r="Q777" i="6" a="1"/>
  <c r="Q777" i="6" s="1"/>
  <c r="Q778" i="6" a="1"/>
  <c r="Q778" i="6" s="1"/>
  <c r="Q779" i="6" a="1"/>
  <c r="Q779" i="6" s="1"/>
  <c r="Q780" i="6" a="1"/>
  <c r="Q780" i="6" s="1"/>
  <c r="Q781" i="6" a="1"/>
  <c r="Q781" i="6"/>
  <c r="Q782" i="6" a="1"/>
  <c r="Q782" i="6" s="1"/>
  <c r="Q783" i="6" a="1"/>
  <c r="Q783" i="6"/>
  <c r="Q784" i="6" a="1"/>
  <c r="Q784" i="6" s="1"/>
  <c r="Q785" i="6" a="1"/>
  <c r="Q785" i="6" s="1"/>
  <c r="Q786" i="6" a="1"/>
  <c r="Q786" i="6" s="1"/>
  <c r="Q787" i="6" a="1"/>
  <c r="Q787" i="6" s="1"/>
  <c r="Q788" i="6" a="1"/>
  <c r="Q788" i="6" s="1"/>
  <c r="Q789" i="6" a="1"/>
  <c r="Q789" i="6" s="1"/>
  <c r="Q790" i="6" a="1"/>
  <c r="Q790" i="6"/>
  <c r="Q791" i="6" a="1"/>
  <c r="Q791" i="6"/>
  <c r="Q792" i="6" a="1"/>
  <c r="Q792" i="6" s="1"/>
  <c r="Q793" i="6" a="1"/>
  <c r="Q793" i="6" s="1"/>
  <c r="Q794" i="6" a="1"/>
  <c r="Q794" i="6" s="1"/>
  <c r="Q795" i="6" a="1"/>
  <c r="Q795" i="6" s="1"/>
  <c r="Q796" i="6" a="1"/>
  <c r="Q796" i="6" s="1"/>
  <c r="Q797" i="6" a="1"/>
  <c r="Q797" i="6" s="1"/>
  <c r="Q798" i="6" a="1"/>
  <c r="Q798" i="6"/>
  <c r="Q799" i="6" a="1"/>
  <c r="Q799" i="6"/>
  <c r="Q800" i="6" a="1"/>
  <c r="Q800" i="6" s="1"/>
  <c r="Q801" i="6" a="1"/>
  <c r="Q801" i="6" s="1"/>
  <c r="Q802" i="6" a="1"/>
  <c r="Q802" i="6" s="1"/>
  <c r="Q803" i="6" a="1"/>
  <c r="Q803" i="6" s="1"/>
  <c r="Q804" i="6" a="1"/>
  <c r="Q804" i="6" s="1"/>
  <c r="Q805" i="6" a="1"/>
  <c r="Q805" i="6"/>
  <c r="Q806" i="6" a="1"/>
  <c r="Q806" i="6" s="1"/>
  <c r="Q807" i="6" a="1"/>
  <c r="Q807" i="6" s="1"/>
  <c r="Q808" i="6" a="1"/>
  <c r="Q808" i="6" s="1"/>
  <c r="Q809" i="6" a="1"/>
  <c r="Q809" i="6" s="1"/>
  <c r="Q810" i="6" a="1"/>
  <c r="Q810" i="6" s="1"/>
  <c r="Q811" i="6" a="1"/>
  <c r="Q811" i="6" s="1"/>
  <c r="Q812" i="6" a="1"/>
  <c r="Q812" i="6" s="1"/>
  <c r="Q813" i="6" a="1"/>
  <c r="Q813" i="6" s="1"/>
  <c r="Q814" i="6" a="1"/>
  <c r="Q814" i="6" s="1"/>
  <c r="Q815" i="6" a="1"/>
  <c r="Q815" i="6"/>
  <c r="Q816" i="6" a="1"/>
  <c r="Q816" i="6"/>
  <c r="Q817" i="6" a="1"/>
  <c r="Q817" i="6" s="1"/>
  <c r="Q818" i="6" a="1"/>
  <c r="Q818" i="6" s="1"/>
  <c r="Q819" i="6" a="1"/>
  <c r="Q819" i="6" s="1"/>
  <c r="Q820" i="6" a="1"/>
  <c r="Q820" i="6" s="1"/>
  <c r="Q821" i="6" a="1"/>
  <c r="Q821" i="6" s="1"/>
  <c r="Q822" i="6" a="1"/>
  <c r="Q822" i="6"/>
  <c r="Q823" i="6" a="1"/>
  <c r="Q823" i="6" s="1"/>
  <c r="Q824" i="6" a="1"/>
  <c r="Q824" i="6" s="1"/>
  <c r="Q825" i="6" a="1"/>
  <c r="Q825" i="6" s="1"/>
  <c r="Q826" i="6" a="1"/>
  <c r="Q826" i="6" s="1"/>
  <c r="Q827" i="6" a="1"/>
  <c r="Q827" i="6" s="1"/>
  <c r="Q828" i="6" a="1"/>
  <c r="Q828" i="6" s="1"/>
  <c r="Q829" i="6" a="1"/>
  <c r="Q829" i="6" s="1"/>
  <c r="Q830" i="6" a="1"/>
  <c r="Q830" i="6" s="1"/>
  <c r="Q831" i="6" a="1"/>
  <c r="Q831" i="6" s="1"/>
  <c r="Q832" i="6" a="1"/>
  <c r="Q832" i="6"/>
  <c r="Q833" i="6" a="1"/>
  <c r="Q833" i="6" s="1"/>
  <c r="Q834" i="6" a="1"/>
  <c r="Q834" i="6" s="1"/>
  <c r="Q835" i="6" a="1"/>
  <c r="Q835" i="6" s="1"/>
  <c r="Q836" i="6" a="1"/>
  <c r="Q836" i="6" s="1"/>
  <c r="Q837" i="6" a="1"/>
  <c r="Q837" i="6" s="1"/>
  <c r="Q838" i="6" a="1"/>
  <c r="Q838" i="6"/>
  <c r="Q839" i="6" a="1"/>
  <c r="Q839" i="6" s="1"/>
  <c r="Q840" i="6" a="1"/>
  <c r="Q840" i="6"/>
  <c r="Q841" i="6" a="1"/>
  <c r="Q841" i="6" s="1"/>
  <c r="Q842" i="6" a="1"/>
  <c r="Q842" i="6" s="1"/>
  <c r="Q843" i="6" a="1"/>
  <c r="Q843" i="6" s="1"/>
  <c r="Q844" i="6" a="1"/>
  <c r="Q844" i="6" s="1"/>
  <c r="Q845" i="6" a="1"/>
  <c r="Q845" i="6" s="1"/>
  <c r="Q846" i="6" a="1"/>
  <c r="Q846" i="6" s="1"/>
  <c r="Q847" i="6" a="1"/>
  <c r="Q847" i="6"/>
  <c r="Q848" i="6" a="1"/>
  <c r="Q848" i="6" s="1"/>
  <c r="Q849" i="6" a="1"/>
  <c r="Q849" i="6" s="1"/>
  <c r="Q850" i="6" a="1"/>
  <c r="Q850" i="6" s="1"/>
  <c r="Q851" i="6" a="1"/>
  <c r="Q851" i="6" s="1"/>
  <c r="Q852" i="6" a="1"/>
  <c r="Q852" i="6" s="1"/>
  <c r="Q853" i="6" a="1"/>
  <c r="Q853" i="6" s="1"/>
  <c r="Q854" i="6" a="1"/>
  <c r="Q854" i="6" s="1"/>
  <c r="Q855" i="6" a="1"/>
  <c r="Q855" i="6"/>
  <c r="Q856" i="6" a="1"/>
  <c r="Q856" i="6" s="1"/>
  <c r="Q857" i="6" a="1"/>
  <c r="Q857" i="6" s="1"/>
  <c r="Q858" i="6" a="1"/>
  <c r="Q858" i="6" s="1"/>
  <c r="Q859" i="6" a="1"/>
  <c r="Q859" i="6" s="1"/>
  <c r="Q860" i="6" a="1"/>
  <c r="Q860" i="6" s="1"/>
  <c r="Q861" i="6" a="1"/>
  <c r="Q861" i="6" s="1"/>
  <c r="Q862" i="6" a="1"/>
  <c r="Q862" i="6" s="1"/>
  <c r="Q863" i="6" a="1"/>
  <c r="Q863" i="6"/>
  <c r="Q864" i="6" a="1"/>
  <c r="Q864" i="6" s="1"/>
  <c r="Q865" i="6" a="1"/>
  <c r="Q865" i="6" s="1"/>
  <c r="Q866" i="6" a="1"/>
  <c r="Q866" i="6" s="1"/>
  <c r="Q867" i="6" a="1"/>
  <c r="Q867" i="6" s="1"/>
  <c r="Q868" i="6" a="1"/>
  <c r="Q868" i="6" s="1"/>
  <c r="Q869" i="6" a="1"/>
  <c r="Q869" i="6"/>
  <c r="Q870" i="6" a="1"/>
  <c r="Q870" i="6" s="1"/>
  <c r="Q871" i="6" a="1"/>
  <c r="Q871" i="6" s="1"/>
  <c r="Q872" i="6" a="1"/>
  <c r="Q872" i="6"/>
  <c r="Q873" i="6" a="1"/>
  <c r="Q873" i="6" s="1"/>
  <c r="Q874" i="6" a="1"/>
  <c r="Q874" i="6" s="1"/>
  <c r="Q875" i="6" a="1"/>
  <c r="Q875" i="6" s="1"/>
  <c r="Q876" i="6" a="1"/>
  <c r="Q876" i="6" s="1"/>
  <c r="Q877" i="6" a="1"/>
  <c r="Q877" i="6"/>
  <c r="Q878" i="6" a="1"/>
  <c r="Q878" i="6" s="1"/>
  <c r="Q879" i="6" a="1"/>
  <c r="Q879" i="6"/>
  <c r="Q880" i="6" a="1"/>
  <c r="Q880" i="6"/>
  <c r="Q881" i="6" a="1"/>
  <c r="Q881" i="6" s="1"/>
  <c r="Q882" i="6" a="1"/>
  <c r="Q882" i="6" s="1"/>
  <c r="Q883" i="6" a="1"/>
  <c r="Q883" i="6" s="1"/>
  <c r="Q884" i="6" a="1"/>
  <c r="Q884" i="6" s="1"/>
  <c r="Q885" i="6" a="1"/>
  <c r="Q885" i="6"/>
  <c r="Q886" i="6" a="1"/>
  <c r="Q886" i="6" s="1"/>
  <c r="Q887" i="6" a="1"/>
  <c r="Q887" i="6" s="1"/>
  <c r="Q888" i="6" a="1"/>
  <c r="Q888" i="6" s="1"/>
  <c r="Q889" i="6" a="1"/>
  <c r="Q889" i="6" s="1"/>
  <c r="Q890" i="6" a="1"/>
  <c r="Q890" i="6" s="1"/>
  <c r="Q891" i="6" a="1"/>
  <c r="Q891" i="6" s="1"/>
  <c r="Q892" i="6" a="1"/>
  <c r="Q892" i="6" s="1"/>
  <c r="Q893" i="6" a="1"/>
  <c r="Q893" i="6" s="1"/>
  <c r="Q894" i="6" a="1"/>
  <c r="Q894" i="6"/>
  <c r="Q895" i="6" a="1"/>
  <c r="Q895" i="6" s="1"/>
  <c r="Q896" i="6" a="1"/>
  <c r="Q896" i="6"/>
  <c r="Q897" i="6" a="1"/>
  <c r="Q897" i="6" s="1"/>
  <c r="Q898" i="6" a="1"/>
  <c r="Q898" i="6" s="1"/>
  <c r="Q899" i="6" a="1"/>
  <c r="Q899" i="6" s="1"/>
  <c r="Q900" i="6" a="1"/>
  <c r="Q900" i="6" s="1"/>
  <c r="Q901" i="6" a="1"/>
  <c r="Q901" i="6"/>
  <c r="Q902" i="6" a="1"/>
  <c r="Q902" i="6"/>
  <c r="Q903" i="6" a="1"/>
  <c r="Q903" i="6" s="1"/>
  <c r="Q904" i="6" a="1"/>
  <c r="Q904" i="6"/>
  <c r="Q905" i="6" a="1"/>
  <c r="Q905" i="6" s="1"/>
  <c r="Q906" i="6" a="1"/>
  <c r="Q906" i="6" s="1"/>
  <c r="Q907" i="6" a="1"/>
  <c r="Q907" i="6" s="1"/>
  <c r="Q908" i="6" a="1"/>
  <c r="Q908" i="6" s="1"/>
  <c r="Q909" i="6" a="1"/>
  <c r="Q909" i="6"/>
  <c r="Q910" i="6" a="1"/>
  <c r="Q910" i="6" s="1"/>
  <c r="Q911" i="6" a="1"/>
  <c r="Q911" i="6"/>
  <c r="Q912" i="6" a="1"/>
  <c r="Q912" i="6" s="1"/>
  <c r="Q913" i="6" a="1"/>
  <c r="Q913" i="6" s="1"/>
  <c r="Q914" i="6" a="1"/>
  <c r="Q914" i="6" s="1"/>
  <c r="Q915" i="6" a="1"/>
  <c r="Q915" i="6" s="1"/>
  <c r="Q916" i="6" a="1"/>
  <c r="Q916" i="6" s="1"/>
  <c r="Q917" i="6" a="1"/>
  <c r="Q917" i="6"/>
  <c r="Q918" i="6" a="1"/>
  <c r="Q918" i="6" s="1"/>
  <c r="Q919" i="6" a="1"/>
  <c r="Q919" i="6" s="1"/>
  <c r="Q920" i="6" a="1"/>
  <c r="Q920" i="6" s="1"/>
  <c r="Q921" i="6" a="1"/>
  <c r="Q921" i="6" s="1"/>
  <c r="Q922" i="6" a="1"/>
  <c r="Q922" i="6" s="1"/>
  <c r="Q923" i="6" a="1"/>
  <c r="Q923" i="6" s="1"/>
  <c r="Q924" i="6" a="1"/>
  <c r="Q924" i="6" s="1"/>
  <c r="Q925" i="6" a="1"/>
  <c r="Q925" i="6" s="1"/>
  <c r="Q926" i="6" a="1"/>
  <c r="Q926" i="6"/>
  <c r="Q927" i="6" a="1"/>
  <c r="Q927" i="6"/>
  <c r="Q928" i="6" a="1"/>
  <c r="Q928" i="6"/>
  <c r="Q929" i="6" a="1"/>
  <c r="Q929" i="6" s="1"/>
  <c r="Q930" i="6" a="1"/>
  <c r="Q930" i="6" s="1"/>
  <c r="Q931" i="6" a="1"/>
  <c r="Q931" i="6" s="1"/>
  <c r="Q932" i="6" a="1"/>
  <c r="Q932" i="6" s="1"/>
  <c r="Q933" i="6" a="1"/>
  <c r="Q933" i="6"/>
  <c r="Q934" i="6" a="1"/>
  <c r="Q934" i="6" s="1"/>
  <c r="Q935" i="6" a="1"/>
  <c r="Q935" i="6" s="1"/>
  <c r="Q936" i="6" a="1"/>
  <c r="Q936" i="6"/>
  <c r="Q937" i="6" a="1"/>
  <c r="Q937" i="6" s="1"/>
  <c r="Q938" i="6" a="1"/>
  <c r="Q938" i="6" s="1"/>
  <c r="Q939" i="6" a="1"/>
  <c r="Q939" i="6" s="1"/>
  <c r="Q940" i="6" a="1"/>
  <c r="Q940" i="6" s="1"/>
  <c r="Q941" i="6" a="1"/>
  <c r="Q941" i="6"/>
  <c r="Q942" i="6" a="1"/>
  <c r="Q942" i="6" s="1"/>
  <c r="Q943" i="6" a="1"/>
  <c r="Q943" i="6" s="1"/>
  <c r="Q944" i="6" a="1"/>
  <c r="Q944" i="6"/>
  <c r="Q945" i="6" a="1"/>
  <c r="Q945" i="6" s="1"/>
  <c r="Q946" i="6" a="1"/>
  <c r="Q946" i="6" s="1"/>
  <c r="Q947" i="6" a="1"/>
  <c r="Q947" i="6" s="1"/>
  <c r="Q948" i="6" a="1"/>
  <c r="Q948" i="6" s="1"/>
  <c r="Q949" i="6" a="1"/>
  <c r="Q949" i="6"/>
  <c r="Q950" i="6" a="1"/>
  <c r="Q950" i="6"/>
  <c r="Q951" i="6" a="1"/>
  <c r="Q951" i="6"/>
  <c r="Q952" i="6" a="1"/>
  <c r="Q952" i="6" s="1"/>
  <c r="Q953" i="6" a="1"/>
  <c r="Q953" i="6" s="1"/>
  <c r="Q954" i="6" a="1"/>
  <c r="Q954" i="6" s="1"/>
  <c r="Q955" i="6" a="1"/>
  <c r="Q955" i="6" s="1"/>
  <c r="Q956" i="6" a="1"/>
  <c r="Q956" i="6" s="1"/>
  <c r="Q957" i="6" a="1"/>
  <c r="Q957" i="6" s="1"/>
  <c r="Q958" i="6" a="1"/>
  <c r="Q958" i="6" s="1"/>
  <c r="Q959" i="6" a="1"/>
  <c r="Q959" i="6" s="1"/>
  <c r="P2" i="6" a="1"/>
  <c r="P2" i="6" s="1"/>
  <c r="P3" i="6" a="1"/>
  <c r="P3" i="6" s="1"/>
  <c r="P4" i="6" a="1"/>
  <c r="P4" i="6" s="1"/>
  <c r="P5" i="6" a="1"/>
  <c r="P5" i="6" s="1"/>
  <c r="P6" i="6" a="1"/>
  <c r="P6" i="6"/>
  <c r="P7" i="6" a="1"/>
  <c r="P7" i="6"/>
  <c r="P8" i="6" a="1"/>
  <c r="P8" i="6" s="1"/>
  <c r="P9" i="6" a="1"/>
  <c r="P9" i="6" s="1"/>
  <c r="P10" i="6" a="1"/>
  <c r="P10" i="6" s="1"/>
  <c r="P11" i="6" a="1"/>
  <c r="P11" i="6" s="1"/>
  <c r="P12" i="6" a="1"/>
  <c r="P12" i="6" s="1"/>
  <c r="P13" i="6" a="1"/>
  <c r="P13" i="6" s="1"/>
  <c r="P14" i="6" a="1"/>
  <c r="P14" i="6" s="1"/>
  <c r="P15" i="6" a="1"/>
  <c r="P15" i="6" s="1"/>
  <c r="P16" i="6" a="1"/>
  <c r="P16" i="6"/>
  <c r="P17" i="6" a="1"/>
  <c r="P17" i="6"/>
  <c r="P18" i="6" a="1"/>
  <c r="P18" i="6" s="1"/>
  <c r="P19" i="6" a="1"/>
  <c r="P19" i="6" s="1"/>
  <c r="P20" i="6" a="1"/>
  <c r="P20" i="6" s="1"/>
  <c r="P21" i="6" a="1"/>
  <c r="P21" i="6" s="1"/>
  <c r="P22" i="6" a="1"/>
  <c r="P22" i="6" s="1"/>
  <c r="P23" i="6" a="1"/>
  <c r="P23" i="6" s="1"/>
  <c r="P24" i="6" a="1"/>
  <c r="P24" i="6"/>
  <c r="P25" i="6" a="1"/>
  <c r="P25" i="6" s="1"/>
  <c r="P26" i="6" a="1"/>
  <c r="P26" i="6"/>
  <c r="P27" i="6" a="1"/>
  <c r="P27" i="6" s="1"/>
  <c r="P28" i="6" a="1"/>
  <c r="P28" i="6" s="1"/>
  <c r="P29" i="6" a="1"/>
  <c r="P29" i="6" s="1"/>
  <c r="P30" i="6" a="1"/>
  <c r="P30" i="6"/>
  <c r="P31" i="6" a="1"/>
  <c r="P31" i="6" s="1"/>
  <c r="P32" i="6" a="1"/>
  <c r="P32" i="6"/>
  <c r="P33" i="6" a="1"/>
  <c r="P33" i="6" s="1"/>
  <c r="P34" i="6" a="1"/>
  <c r="P34" i="6" s="1"/>
  <c r="P35" i="6" a="1"/>
  <c r="P35" i="6" s="1"/>
  <c r="P36" i="6" a="1"/>
  <c r="P36" i="6" s="1"/>
  <c r="P37" i="6" a="1"/>
  <c r="P37" i="6" s="1"/>
  <c r="P38" i="6" a="1"/>
  <c r="P38" i="6" s="1"/>
  <c r="P39" i="6" a="1"/>
  <c r="P39" i="6" s="1"/>
  <c r="P40" i="6" a="1"/>
  <c r="P40" i="6" s="1"/>
  <c r="P41" i="6" a="1"/>
  <c r="P41" i="6" s="1"/>
  <c r="P42" i="6" a="1"/>
  <c r="P42" i="6"/>
  <c r="P43" i="6" a="1"/>
  <c r="P43" i="6" s="1"/>
  <c r="P44" i="6" a="1"/>
  <c r="P44" i="6"/>
  <c r="P45" i="6" a="1"/>
  <c r="P45" i="6" s="1"/>
  <c r="P46" i="6" a="1"/>
  <c r="P46" i="6" s="1"/>
  <c r="P47" i="6" a="1"/>
  <c r="P47" i="6"/>
  <c r="P48" i="6" a="1"/>
  <c r="P48" i="6" s="1"/>
  <c r="P49" i="6" a="1"/>
  <c r="P49" i="6" s="1"/>
  <c r="P50" i="6" a="1"/>
  <c r="P50" i="6" s="1"/>
  <c r="P51" i="6" a="1"/>
  <c r="P51" i="6" s="1"/>
  <c r="P52" i="6" a="1"/>
  <c r="P52" i="6"/>
  <c r="P53" i="6" a="1"/>
  <c r="P53" i="6" s="1"/>
  <c r="P54" i="6" a="1"/>
  <c r="P54" i="6"/>
  <c r="P55" i="6" a="1"/>
  <c r="P55" i="6" s="1"/>
  <c r="P56" i="6" a="1"/>
  <c r="P56" i="6" s="1"/>
  <c r="P57" i="6" a="1"/>
  <c r="P57" i="6" s="1"/>
  <c r="P58" i="6" a="1"/>
  <c r="P58" i="6"/>
  <c r="P59" i="6" a="1"/>
  <c r="P59" i="6" s="1"/>
  <c r="P60" i="6" a="1"/>
  <c r="P60" i="6" s="1"/>
  <c r="P61" i="6" a="1"/>
  <c r="P61" i="6" s="1"/>
  <c r="P62" i="6" a="1"/>
  <c r="P62" i="6" s="1"/>
  <c r="P63" i="6" a="1"/>
  <c r="P63" i="6"/>
  <c r="P64" i="6" a="1"/>
  <c r="P64" i="6"/>
  <c r="P65" i="6" a="1"/>
  <c r="P65" i="6"/>
  <c r="P66" i="6" a="1"/>
  <c r="P66" i="6" s="1"/>
  <c r="P67" i="6" a="1"/>
  <c r="P67" i="6" s="1"/>
  <c r="P68" i="6" a="1"/>
  <c r="P68" i="6" s="1"/>
  <c r="P69" i="6" a="1"/>
  <c r="P69" i="6" s="1"/>
  <c r="P70" i="6" a="1"/>
  <c r="P70" i="6" s="1"/>
  <c r="P71" i="6" a="1"/>
  <c r="P71" i="6" s="1"/>
  <c r="P72" i="6" a="1"/>
  <c r="P72" i="6" s="1"/>
  <c r="P73" i="6" a="1"/>
  <c r="P73" i="6" s="1"/>
  <c r="P74" i="6" a="1"/>
  <c r="P74" i="6"/>
  <c r="P75" i="6" a="1"/>
  <c r="P75" i="6" s="1"/>
  <c r="P76" i="6" a="1"/>
  <c r="P76" i="6"/>
  <c r="P77" i="6" a="1"/>
  <c r="P77" i="6" s="1"/>
  <c r="P78" i="6" a="1"/>
  <c r="P78" i="6" s="1"/>
  <c r="P79" i="6" a="1"/>
  <c r="P79" i="6" s="1"/>
  <c r="P80" i="6" a="1"/>
  <c r="P80" i="6" s="1"/>
  <c r="P81" i="6" a="1"/>
  <c r="P81" i="6" s="1"/>
  <c r="P82" i="6" a="1"/>
  <c r="P82" i="6"/>
  <c r="P83" i="6" a="1"/>
  <c r="P83" i="6" s="1"/>
  <c r="P84" i="6" a="1"/>
  <c r="P84" i="6" s="1"/>
  <c r="P85" i="6" a="1"/>
  <c r="P85" i="6"/>
  <c r="P86" i="6" a="1"/>
  <c r="P86" i="6"/>
  <c r="P87" i="6" a="1"/>
  <c r="P87" i="6" s="1"/>
  <c r="P88" i="6" a="1"/>
  <c r="P88" i="6" s="1"/>
  <c r="P89" i="6" a="1"/>
  <c r="P89" i="6" s="1"/>
  <c r="P90" i="6" a="1"/>
  <c r="P90" i="6"/>
  <c r="P91" i="6" a="1"/>
  <c r="P91" i="6" s="1"/>
  <c r="P92" i="6" a="1"/>
  <c r="P92" i="6" s="1"/>
  <c r="P93" i="6" a="1"/>
  <c r="P93" i="6"/>
  <c r="P94" i="6" a="1"/>
  <c r="P94" i="6" s="1"/>
  <c r="P95" i="6" a="1"/>
  <c r="P95" i="6"/>
  <c r="P96" i="6" a="1"/>
  <c r="P96" i="6" s="1"/>
  <c r="P97" i="6" a="1"/>
  <c r="P97" i="6" s="1"/>
  <c r="P98" i="6" a="1"/>
  <c r="P98" i="6" s="1"/>
  <c r="P99" i="6" a="1"/>
  <c r="P99" i="6" s="1"/>
  <c r="P100" i="6" a="1"/>
  <c r="P100" i="6"/>
  <c r="P101" i="6" a="1"/>
  <c r="P101" i="6" s="1"/>
  <c r="P102" i="6" a="1"/>
  <c r="P102" i="6" s="1"/>
  <c r="P103" i="6" a="1"/>
  <c r="P103" i="6" s="1"/>
  <c r="P104" i="6" a="1"/>
  <c r="P104" i="6" s="1"/>
  <c r="P105" i="6" a="1"/>
  <c r="P105" i="6"/>
  <c r="P106" i="6" a="1"/>
  <c r="P106" i="6" s="1"/>
  <c r="P107" i="6" a="1"/>
  <c r="P107" i="6" s="1"/>
  <c r="P108" i="6" a="1"/>
  <c r="P108" i="6" s="1"/>
  <c r="P109" i="6" a="1"/>
  <c r="P109" i="6"/>
  <c r="P110" i="6" a="1"/>
  <c r="P110" i="6"/>
  <c r="P111" i="6" a="1"/>
  <c r="P111" i="6" s="1"/>
  <c r="P112" i="6" a="1"/>
  <c r="P112" i="6"/>
  <c r="P113" i="6" a="1"/>
  <c r="P113" i="6" s="1"/>
  <c r="P114" i="6" a="1"/>
  <c r="P114" i="6" s="1"/>
  <c r="P115" i="6" a="1"/>
  <c r="P115" i="6" s="1"/>
  <c r="P116" i="6" a="1"/>
  <c r="P116" i="6" s="1"/>
  <c r="P117" i="6" a="1"/>
  <c r="P117" i="6" s="1"/>
  <c r="P118" i="6" a="1"/>
  <c r="P118" i="6" s="1"/>
  <c r="P119" i="6" a="1"/>
  <c r="P119" i="6"/>
  <c r="P120" i="6" a="1"/>
  <c r="P120" i="6" s="1"/>
  <c r="P121" i="6" a="1"/>
  <c r="P121" i="6" s="1"/>
  <c r="P122" i="6" a="1"/>
  <c r="P122" i="6"/>
  <c r="P123" i="6" a="1"/>
  <c r="P123" i="6" s="1"/>
  <c r="P124" i="6" a="1"/>
  <c r="P124" i="6"/>
  <c r="P125" i="6" a="1"/>
  <c r="P125" i="6" s="1"/>
  <c r="P126" i="6" a="1"/>
  <c r="P126" i="6" s="1"/>
  <c r="P127" i="6" a="1"/>
  <c r="P127" i="6" s="1"/>
  <c r="P128" i="6" a="1"/>
  <c r="P128" i="6"/>
  <c r="P129" i="6" a="1"/>
  <c r="P129" i="6" s="1"/>
  <c r="P130" i="6" a="1"/>
  <c r="P130" i="6" s="1"/>
  <c r="P131" i="6" a="1"/>
  <c r="P131" i="6" s="1"/>
  <c r="P132" i="6" a="1"/>
  <c r="P132" i="6" s="1"/>
  <c r="P133" i="6" a="1"/>
  <c r="P133" i="6"/>
  <c r="P134" i="6" a="1"/>
  <c r="P134" i="6" s="1"/>
  <c r="P135" i="6" a="1"/>
  <c r="P135" i="6"/>
  <c r="P136" i="6" a="1"/>
  <c r="P136" i="6" s="1"/>
  <c r="P137" i="6" a="1"/>
  <c r="P137" i="6" s="1"/>
  <c r="P138" i="6" a="1"/>
  <c r="P138" i="6" s="1"/>
  <c r="P139" i="6" a="1"/>
  <c r="P139" i="6" s="1"/>
  <c r="P140" i="6" a="1"/>
  <c r="P140" i="6"/>
  <c r="P141" i="6" a="1"/>
  <c r="P141" i="6" s="1"/>
  <c r="P142" i="6" a="1"/>
  <c r="P142" i="6"/>
  <c r="P143" i="6" a="1"/>
  <c r="P143" i="6" s="1"/>
  <c r="P144" i="6" a="1"/>
  <c r="P144" i="6" s="1"/>
  <c r="P145" i="6" a="1"/>
  <c r="P145" i="6"/>
  <c r="P146" i="6" a="1"/>
  <c r="P146" i="6"/>
  <c r="P147" i="6" a="1"/>
  <c r="P147" i="6" s="1"/>
  <c r="P148" i="6" a="1"/>
  <c r="P148" i="6" s="1"/>
  <c r="P149" i="6" a="1"/>
  <c r="P149" i="6" s="1"/>
  <c r="P150" i="6" a="1"/>
  <c r="P150" i="6"/>
  <c r="P151" i="6" a="1"/>
  <c r="P151" i="6" s="1"/>
  <c r="P152" i="6" a="1"/>
  <c r="P152" i="6" s="1"/>
  <c r="P153" i="6" a="1"/>
  <c r="P153" i="6" s="1"/>
  <c r="P154" i="6" a="1"/>
  <c r="P154" i="6"/>
  <c r="P155" i="6" a="1"/>
  <c r="P155" i="6" s="1"/>
  <c r="P156" i="6" a="1"/>
  <c r="P156" i="6" s="1"/>
  <c r="P157" i="6" a="1"/>
  <c r="P157" i="6"/>
  <c r="P158" i="6" a="1"/>
  <c r="P158" i="6" s="1"/>
  <c r="P159" i="6" a="1"/>
  <c r="P159" i="6"/>
  <c r="P160" i="6" a="1"/>
  <c r="P160" i="6" s="1"/>
  <c r="P161" i="6" a="1"/>
  <c r="P161" i="6" s="1"/>
  <c r="P162" i="6" a="1"/>
  <c r="P162" i="6" s="1"/>
  <c r="P163" i="6" a="1"/>
  <c r="P163" i="6" s="1"/>
  <c r="P164" i="6" a="1"/>
  <c r="P164" i="6" s="1"/>
  <c r="P165" i="6" a="1"/>
  <c r="P165" i="6" s="1"/>
  <c r="P166" i="6" a="1"/>
  <c r="P166" i="6" s="1"/>
  <c r="P167" i="6" a="1"/>
  <c r="P167" i="6"/>
  <c r="P168" i="6" a="1"/>
  <c r="P168" i="6" s="1"/>
  <c r="P169" i="6" a="1"/>
  <c r="P169" i="6"/>
  <c r="P170" i="6" a="1"/>
  <c r="P170" i="6"/>
  <c r="P171" i="6" a="1"/>
  <c r="P171" i="6" s="1"/>
  <c r="P172" i="6" a="1"/>
  <c r="P172" i="6" s="1"/>
  <c r="P173" i="6" a="1"/>
  <c r="P173" i="6" s="1"/>
  <c r="P174" i="6" a="1"/>
  <c r="P174" i="6"/>
  <c r="P175" i="6" a="1"/>
  <c r="P175" i="6" s="1"/>
  <c r="P176" i="6" a="1"/>
  <c r="P176" i="6"/>
  <c r="P177" i="6" a="1"/>
  <c r="P177" i="6"/>
  <c r="P178" i="6" a="1"/>
  <c r="P178" i="6" s="1"/>
  <c r="P179" i="6" a="1"/>
  <c r="P179" i="6" s="1"/>
  <c r="P180" i="6" a="1"/>
  <c r="P180" i="6" s="1"/>
  <c r="P181" i="6" a="1"/>
  <c r="P181" i="6" s="1"/>
  <c r="P182" i="6" a="1"/>
  <c r="P182" i="6" s="1"/>
  <c r="P183" i="6" a="1"/>
  <c r="P183" i="6" s="1"/>
  <c r="P184" i="6" a="1"/>
  <c r="P184" i="6" s="1"/>
  <c r="P185" i="6" a="1"/>
  <c r="P185" i="6"/>
  <c r="P186" i="6" a="1"/>
  <c r="P186" i="6" s="1"/>
  <c r="P187" i="6" a="1"/>
  <c r="P187" i="6" s="1"/>
  <c r="P188" i="6" a="1"/>
  <c r="P188" i="6" s="1"/>
  <c r="P189" i="6" a="1"/>
  <c r="P189" i="6"/>
  <c r="P190" i="6" a="1"/>
  <c r="P190" i="6" s="1"/>
  <c r="P191" i="6" a="1"/>
  <c r="P191" i="6" s="1"/>
  <c r="P192" i="6" a="1"/>
  <c r="P192" i="6" s="1"/>
  <c r="P193" i="6" a="1"/>
  <c r="P193" i="6"/>
  <c r="P194" i="6" a="1"/>
  <c r="P194" i="6" s="1"/>
  <c r="P195" i="6" a="1"/>
  <c r="P195" i="6" s="1"/>
  <c r="P196" i="6" a="1"/>
  <c r="P196" i="6"/>
  <c r="P197" i="6" a="1"/>
  <c r="P197" i="6"/>
  <c r="P198" i="6" a="1"/>
  <c r="P198" i="6" s="1"/>
  <c r="P199" i="6" a="1"/>
  <c r="P199" i="6" s="1"/>
  <c r="P200" i="6" a="1"/>
  <c r="P200" i="6" s="1"/>
  <c r="P201" i="6" a="1"/>
  <c r="P201" i="6"/>
  <c r="P202" i="6" a="1"/>
  <c r="P202" i="6" s="1"/>
  <c r="P203" i="6" a="1"/>
  <c r="P203" i="6" s="1"/>
  <c r="P204" i="6" a="1"/>
  <c r="P204" i="6" s="1"/>
  <c r="P205" i="6" a="1"/>
  <c r="P205" i="6" s="1"/>
  <c r="P206" i="6" a="1"/>
  <c r="P206" i="6"/>
  <c r="P207" i="6" a="1"/>
  <c r="P207" i="6" s="1"/>
  <c r="P208" i="6" a="1"/>
  <c r="P208" i="6" s="1"/>
  <c r="P209" i="6" a="1"/>
  <c r="P209" i="6" s="1"/>
  <c r="P210" i="6" a="1"/>
  <c r="P210" i="6"/>
  <c r="P211" i="6" a="1"/>
  <c r="P211" i="6" s="1"/>
  <c r="P212" i="6" a="1"/>
  <c r="P212" i="6" s="1"/>
  <c r="P213" i="6" a="1"/>
  <c r="P213" i="6"/>
  <c r="P214" i="6" a="1"/>
  <c r="P214" i="6"/>
  <c r="P215" i="6" a="1"/>
  <c r="P215" i="6" s="1"/>
  <c r="P216" i="6" a="1"/>
  <c r="P216" i="6" s="1"/>
  <c r="P217" i="6" a="1"/>
  <c r="P217" i="6" s="1"/>
  <c r="P218" i="6" a="1"/>
  <c r="P218" i="6" s="1"/>
  <c r="P219" i="6" a="1"/>
  <c r="P219" i="6" s="1"/>
  <c r="P220" i="6" a="1"/>
  <c r="P220" i="6" s="1"/>
  <c r="P221" i="6" a="1"/>
  <c r="P221" i="6"/>
  <c r="P222" i="6" a="1"/>
  <c r="P222" i="6" s="1"/>
  <c r="P223" i="6" a="1"/>
  <c r="P223" i="6" s="1"/>
  <c r="P224" i="6" a="1"/>
  <c r="P224" i="6" s="1"/>
  <c r="P225" i="6" a="1"/>
  <c r="P225" i="6"/>
  <c r="P226" i="6" a="1"/>
  <c r="P226" i="6"/>
  <c r="P227" i="6" a="1"/>
  <c r="P227" i="6" s="1"/>
  <c r="P228" i="6" a="1"/>
  <c r="P228" i="6" s="1"/>
  <c r="P229" i="6" a="1"/>
  <c r="P229" i="6" s="1"/>
  <c r="P230" i="6" a="1"/>
  <c r="P230" i="6" s="1"/>
  <c r="P231" i="6" a="1"/>
  <c r="P231" i="6"/>
  <c r="P232" i="6" a="1"/>
  <c r="P232" i="6" s="1"/>
  <c r="P233" i="6" a="1"/>
  <c r="P233" i="6" s="1"/>
  <c r="P234" i="6" a="1"/>
  <c r="P234" i="6" s="1"/>
  <c r="P235" i="6" a="1"/>
  <c r="P235" i="6" s="1"/>
  <c r="P236" i="6" a="1"/>
  <c r="P236" i="6"/>
  <c r="P237" i="6" a="1"/>
  <c r="P237" i="6" s="1"/>
  <c r="P238" i="6" a="1"/>
  <c r="P238" i="6" s="1"/>
  <c r="P239" i="6" a="1"/>
  <c r="P239" i="6" s="1"/>
  <c r="P240" i="6" a="1"/>
  <c r="P240" i="6"/>
  <c r="P241" i="6" a="1"/>
  <c r="P241" i="6" s="1"/>
  <c r="P242" i="6" a="1"/>
  <c r="P242" i="6" s="1"/>
  <c r="P243" i="6" a="1"/>
  <c r="P243" i="6" s="1"/>
  <c r="P244" i="6" a="1"/>
  <c r="P244" i="6"/>
  <c r="P245" i="6" a="1"/>
  <c r="P245" i="6" s="1"/>
  <c r="P246" i="6" a="1"/>
  <c r="P246" i="6" s="1"/>
  <c r="P247" i="6" a="1"/>
  <c r="P247" i="6" s="1"/>
  <c r="P248" i="6" a="1"/>
  <c r="P248" i="6" s="1"/>
  <c r="P249" i="6" a="1"/>
  <c r="P249" i="6" s="1"/>
  <c r="P250" i="6" a="1"/>
  <c r="P250" i="6" s="1"/>
  <c r="P251" i="6" a="1"/>
  <c r="P251" i="6" s="1"/>
  <c r="P252" i="6" a="1"/>
  <c r="P252" i="6"/>
  <c r="P253" i="6" a="1"/>
  <c r="P253" i="6" s="1"/>
  <c r="P254" i="6" a="1"/>
  <c r="P254" i="6" s="1"/>
  <c r="P255" i="6" a="1"/>
  <c r="P255" i="6" s="1"/>
  <c r="P256" i="6" a="1"/>
  <c r="P256" i="6" s="1"/>
  <c r="P257" i="6" a="1"/>
  <c r="P257" i="6" s="1"/>
  <c r="P258" i="6" a="1"/>
  <c r="P258" i="6" s="1"/>
  <c r="P259" i="6" a="1"/>
  <c r="P259" i="6" s="1"/>
  <c r="P260" i="6" a="1"/>
  <c r="P260" i="6" s="1"/>
  <c r="P261" i="6" a="1"/>
  <c r="P261" i="6" s="1"/>
  <c r="P262" i="6" a="1"/>
  <c r="P262" i="6"/>
  <c r="P263" i="6" a="1"/>
  <c r="P263" i="6"/>
  <c r="P264" i="6" a="1"/>
  <c r="P264" i="6" s="1"/>
  <c r="P265" i="6" a="1"/>
  <c r="P265" i="6" s="1"/>
  <c r="P266" i="6" a="1"/>
  <c r="P266" i="6" s="1"/>
  <c r="P267" i="6" a="1"/>
  <c r="P267" i="6" s="1"/>
  <c r="P268" i="6" a="1"/>
  <c r="P268" i="6"/>
  <c r="P269" i="6" a="1"/>
  <c r="P269" i="6" s="1"/>
  <c r="P270" i="6" a="1"/>
  <c r="P270" i="6" s="1"/>
  <c r="P271" i="6" a="1"/>
  <c r="P271" i="6"/>
  <c r="P272" i="6" a="1"/>
  <c r="P272" i="6" s="1"/>
  <c r="P273" i="6" a="1"/>
  <c r="P273" i="6" s="1"/>
  <c r="P274" i="6" a="1"/>
  <c r="P274" i="6" s="1"/>
  <c r="P275" i="6" a="1"/>
  <c r="P275" i="6" s="1"/>
  <c r="P276" i="6" a="1"/>
  <c r="P276" i="6"/>
  <c r="P277" i="6" a="1"/>
  <c r="P277" i="6" s="1"/>
  <c r="P278" i="6" a="1"/>
  <c r="P278" i="6"/>
  <c r="P279" i="6" a="1"/>
  <c r="P279" i="6" s="1"/>
  <c r="P280" i="6" a="1"/>
  <c r="P280" i="6" s="1"/>
  <c r="P281" i="6" a="1"/>
  <c r="P281" i="6"/>
  <c r="P282" i="6" a="1"/>
  <c r="P282" i="6" s="1"/>
  <c r="P283" i="6" a="1"/>
  <c r="P283" i="6" s="1"/>
  <c r="P284" i="6" a="1"/>
  <c r="P284" i="6" s="1"/>
  <c r="P285" i="6" a="1"/>
  <c r="P285" i="6"/>
  <c r="P286" i="6" a="1"/>
  <c r="P286" i="6"/>
  <c r="P287" i="6" a="1"/>
  <c r="P287" i="6" s="1"/>
  <c r="P288" i="6" a="1"/>
  <c r="P288" i="6" s="1"/>
  <c r="P289" i="6" a="1"/>
  <c r="P289" i="6"/>
  <c r="P290" i="6" a="1"/>
  <c r="P290" i="6" s="1"/>
  <c r="P291" i="6" a="1"/>
  <c r="P291" i="6" s="1"/>
  <c r="P292" i="6" a="1"/>
  <c r="P292" i="6" s="1"/>
  <c r="P293" i="6" a="1"/>
  <c r="P293" i="6" s="1"/>
  <c r="P294" i="6" a="1"/>
  <c r="P294" i="6" s="1"/>
  <c r="P295" i="6" a="1"/>
  <c r="P295" i="6"/>
  <c r="P296" i="6" a="1"/>
  <c r="P296" i="6"/>
  <c r="P297" i="6" a="1"/>
  <c r="P297" i="6"/>
  <c r="P298" i="6" a="1"/>
  <c r="P298" i="6" s="1"/>
  <c r="P299" i="6" a="1"/>
  <c r="P299" i="6" s="1"/>
  <c r="P300" i="6" a="1"/>
  <c r="P300" i="6"/>
  <c r="P301" i="6" a="1"/>
  <c r="P301" i="6" s="1"/>
  <c r="P302" i="6" a="1"/>
  <c r="P302" i="6" s="1"/>
  <c r="P303" i="6" a="1"/>
  <c r="P303" i="6" s="1"/>
  <c r="P304" i="6" a="1"/>
  <c r="P304" i="6"/>
  <c r="P305" i="6" a="1"/>
  <c r="P305" i="6" s="1"/>
  <c r="P306" i="6" a="1"/>
  <c r="P306" i="6"/>
  <c r="P307" i="6" a="1"/>
  <c r="P307" i="6" s="1"/>
  <c r="P308" i="6" a="1"/>
  <c r="P308" i="6"/>
  <c r="P309" i="6" a="1"/>
  <c r="P309" i="6" s="1"/>
  <c r="P310" i="6" a="1"/>
  <c r="P310" i="6" s="1"/>
  <c r="P311" i="6" a="1"/>
  <c r="P311" i="6" s="1"/>
  <c r="P312" i="6" a="1"/>
  <c r="P312" i="6" s="1"/>
  <c r="P313" i="6" a="1"/>
  <c r="P313" i="6" s="1"/>
  <c r="P314" i="6" a="1"/>
  <c r="P314" i="6" s="1"/>
  <c r="P315" i="6" a="1"/>
  <c r="P315" i="6" s="1"/>
  <c r="P316" i="6" a="1"/>
  <c r="P316" i="6" s="1"/>
  <c r="P317" i="6" a="1"/>
  <c r="P317" i="6"/>
  <c r="P318" i="6" a="1"/>
  <c r="P318" i="6" s="1"/>
  <c r="P319" i="6" a="1"/>
  <c r="P319" i="6" s="1"/>
  <c r="P320" i="6" a="1"/>
  <c r="P320" i="6"/>
  <c r="P321" i="6" a="1"/>
  <c r="P321" i="6" s="1"/>
  <c r="P322" i="6" a="1"/>
  <c r="P322" i="6" s="1"/>
  <c r="P323" i="6" a="1"/>
  <c r="P323" i="6" s="1"/>
  <c r="P324" i="6" a="1"/>
  <c r="P324" i="6"/>
  <c r="P325" i="6" a="1"/>
  <c r="P325" i="6" s="1"/>
  <c r="P326" i="6" a="1"/>
  <c r="P326" i="6" s="1"/>
  <c r="P327" i="6" a="1"/>
  <c r="P327" i="6"/>
  <c r="P328" i="6" a="1"/>
  <c r="P328" i="6" s="1"/>
  <c r="P329" i="6" a="1"/>
  <c r="P329" i="6" s="1"/>
  <c r="P330" i="6" a="1"/>
  <c r="P330" i="6" s="1"/>
  <c r="P331" i="6" a="1"/>
  <c r="P331" i="6" s="1"/>
  <c r="P332" i="6" a="1"/>
  <c r="P332" i="6"/>
  <c r="P333" i="6" a="1"/>
  <c r="P333" i="6" s="1"/>
  <c r="P334" i="6" a="1"/>
  <c r="P334" i="6" s="1"/>
  <c r="P335" i="6" a="1"/>
  <c r="P335" i="6" s="1"/>
  <c r="P336" i="6" a="1"/>
  <c r="P336" i="6"/>
  <c r="P337" i="6" a="1"/>
  <c r="P337" i="6" s="1"/>
  <c r="P338" i="6" a="1"/>
  <c r="P338" i="6"/>
  <c r="P339" i="6" a="1"/>
  <c r="P339" i="6" s="1"/>
  <c r="P340" i="6" a="1"/>
  <c r="P340" i="6" s="1"/>
  <c r="P341" i="6" a="1"/>
  <c r="P341" i="6"/>
  <c r="P342" i="6" a="1"/>
  <c r="P342" i="6"/>
  <c r="P343" i="6" a="1"/>
  <c r="P343" i="6" s="1"/>
  <c r="P344" i="6" a="1"/>
  <c r="P344" i="6" s="1"/>
  <c r="P345" i="6" a="1"/>
  <c r="P345" i="6" s="1"/>
  <c r="P346" i="6" a="1"/>
  <c r="P346" i="6"/>
  <c r="P347" i="6" a="1"/>
  <c r="P347" i="6" s="1"/>
  <c r="P348" i="6" a="1"/>
  <c r="P348" i="6" s="1"/>
  <c r="P349" i="6" a="1"/>
  <c r="P349" i="6" s="1"/>
  <c r="P350" i="6" a="1"/>
  <c r="P350" i="6" s="1"/>
  <c r="P351" i="6" a="1"/>
  <c r="P351" i="6"/>
  <c r="P352" i="6" a="1"/>
  <c r="P352" i="6" s="1"/>
  <c r="P353" i="6" a="1"/>
  <c r="P353" i="6" s="1"/>
  <c r="P354" i="6" a="1"/>
  <c r="P354" i="6"/>
  <c r="P355" i="6" a="1"/>
  <c r="P355" i="6" s="1"/>
  <c r="P356" i="6" a="1"/>
  <c r="P356" i="6" s="1"/>
  <c r="P357" i="6" a="1"/>
  <c r="P357" i="6"/>
  <c r="P358" i="6" a="1"/>
  <c r="P358" i="6" s="1"/>
  <c r="P359" i="6" a="1"/>
  <c r="P359" i="6" s="1"/>
  <c r="P360" i="6" a="1"/>
  <c r="P360" i="6" s="1"/>
  <c r="P361" i="6" a="1"/>
  <c r="P361" i="6"/>
  <c r="P362" i="6" a="1"/>
  <c r="P362" i="6" s="1"/>
  <c r="P363" i="6" a="1"/>
  <c r="P363" i="6" s="1"/>
  <c r="P364" i="6" a="1"/>
  <c r="P364" i="6" s="1"/>
  <c r="P365" i="6" a="1"/>
  <c r="P365" i="6"/>
  <c r="P366" i="6" a="1"/>
  <c r="P366" i="6"/>
  <c r="P367" i="6" a="1"/>
  <c r="P367" i="6" s="1"/>
  <c r="P368" i="6" a="1"/>
  <c r="P368" i="6" s="1"/>
  <c r="P369" i="6" a="1"/>
  <c r="P369" i="6" s="1"/>
  <c r="P370" i="6" a="1"/>
  <c r="P370" i="6" s="1"/>
  <c r="P371" i="6" a="1"/>
  <c r="P371" i="6" s="1"/>
  <c r="P372" i="6" a="1"/>
  <c r="P372" i="6"/>
  <c r="P373" i="6" a="1"/>
  <c r="P373" i="6"/>
  <c r="P374" i="6" a="1"/>
  <c r="P374" i="6" s="1"/>
  <c r="P375" i="6" a="1"/>
  <c r="P375" i="6"/>
  <c r="P376" i="6" a="1"/>
  <c r="P376" i="6"/>
  <c r="P377" i="6" a="1"/>
  <c r="P377" i="6" s="1"/>
  <c r="P378" i="6" a="1"/>
  <c r="P378" i="6" s="1"/>
  <c r="P379" i="6" a="1"/>
  <c r="P379" i="6" s="1"/>
  <c r="P380" i="6" a="1"/>
  <c r="P380" i="6" s="1"/>
  <c r="P381" i="6" a="1"/>
  <c r="P381" i="6" s="1"/>
  <c r="P382" i="6" a="1"/>
  <c r="P382" i="6" s="1"/>
  <c r="P383" i="6" a="1"/>
  <c r="P383" i="6" s="1"/>
  <c r="P384" i="6" a="1"/>
  <c r="P384" i="6"/>
  <c r="P385" i="6" a="1"/>
  <c r="P385" i="6"/>
  <c r="P386" i="6" a="1"/>
  <c r="P386" i="6" s="1"/>
  <c r="P387" i="6" a="1"/>
  <c r="P387" i="6" s="1"/>
  <c r="P388" i="6" a="1"/>
  <c r="P388" i="6" s="1"/>
  <c r="P389" i="6" a="1"/>
  <c r="P389" i="6"/>
  <c r="P390" i="6" a="1"/>
  <c r="P390" i="6" s="1"/>
  <c r="P391" i="6" a="1"/>
  <c r="P391" i="6"/>
  <c r="P392" i="6" a="1"/>
  <c r="P392" i="6" s="1"/>
  <c r="P393" i="6" a="1"/>
  <c r="P393" i="6" s="1"/>
  <c r="P394" i="6" a="1"/>
  <c r="P394" i="6" s="1"/>
  <c r="P395" i="6" a="1"/>
  <c r="P395" i="6" s="1"/>
  <c r="P396" i="6" a="1"/>
  <c r="P396" i="6" s="1"/>
  <c r="P397" i="6" a="1"/>
  <c r="P397" i="6" s="1"/>
  <c r="P398" i="6" a="1"/>
  <c r="P398" i="6"/>
  <c r="P399" i="6" a="1"/>
  <c r="P399" i="6"/>
  <c r="P400" i="6" a="1"/>
  <c r="P400" i="6" s="1"/>
  <c r="P401" i="6" a="1"/>
  <c r="P401" i="6"/>
  <c r="P402" i="6" a="1"/>
  <c r="P402" i="6" s="1"/>
  <c r="P403" i="6" a="1"/>
  <c r="P403" i="6" s="1"/>
  <c r="P404" i="6" a="1"/>
  <c r="P404" i="6" s="1"/>
  <c r="P405" i="6" a="1"/>
  <c r="P405" i="6" s="1"/>
  <c r="P406" i="6" a="1"/>
  <c r="P406" i="6" s="1"/>
  <c r="P407" i="6" a="1"/>
  <c r="P407" i="6"/>
  <c r="P408" i="6" a="1"/>
  <c r="P408" i="6"/>
  <c r="P409" i="6" a="1"/>
  <c r="P409" i="6" s="1"/>
  <c r="P410" i="6" a="1"/>
  <c r="P410" i="6" s="1"/>
  <c r="P411" i="6" a="1"/>
  <c r="P411" i="6" s="1"/>
  <c r="P412" i="6" a="1"/>
  <c r="P412" i="6" s="1"/>
  <c r="P413" i="6" a="1"/>
  <c r="P413" i="6" s="1"/>
  <c r="P414" i="6" a="1"/>
  <c r="P414" i="6" s="1"/>
  <c r="P415" i="6" a="1"/>
  <c r="P415" i="6" s="1"/>
  <c r="P416" i="6" a="1"/>
  <c r="P416" i="6" s="1"/>
  <c r="P417" i="6" a="1"/>
  <c r="P417" i="6" s="1"/>
  <c r="P418" i="6" a="1"/>
  <c r="P418" i="6"/>
  <c r="P419" i="6" a="1"/>
  <c r="P419" i="6" s="1"/>
  <c r="P420" i="6" a="1"/>
  <c r="P420" i="6" s="1"/>
  <c r="P421" i="6" a="1"/>
  <c r="P421" i="6" s="1"/>
  <c r="P422" i="6" a="1"/>
  <c r="P422" i="6" s="1"/>
  <c r="P423" i="6" a="1"/>
  <c r="P423" i="6"/>
  <c r="P424" i="6" a="1"/>
  <c r="P424" i="6" s="1"/>
  <c r="P425" i="6" a="1"/>
  <c r="P425" i="6" s="1"/>
  <c r="P426" i="6" a="1"/>
  <c r="P426" i="6"/>
  <c r="P427" i="6" a="1"/>
  <c r="P427" i="6" s="1"/>
  <c r="P428" i="6" a="1"/>
  <c r="P428" i="6" s="1"/>
  <c r="P429" i="6" a="1"/>
  <c r="P429" i="6" s="1"/>
  <c r="P430" i="6" a="1"/>
  <c r="P430" i="6"/>
  <c r="P431" i="6" a="1"/>
  <c r="P431" i="6" s="1"/>
  <c r="P432" i="6" a="1"/>
  <c r="P432" i="6" s="1"/>
  <c r="P433" i="6" a="1"/>
  <c r="P433" i="6" s="1"/>
  <c r="P434" i="6" a="1"/>
  <c r="P434" i="6" s="1"/>
  <c r="P435" i="6" a="1"/>
  <c r="P435" i="6" s="1"/>
  <c r="P436" i="6" a="1"/>
  <c r="P436" i="6" s="1"/>
  <c r="P437" i="6" a="1"/>
  <c r="P437" i="6" s="1"/>
  <c r="P438" i="6" a="1"/>
  <c r="P438" i="6" s="1"/>
  <c r="P439" i="6" a="1"/>
  <c r="P439" i="6" s="1"/>
  <c r="P440" i="6" a="1"/>
  <c r="P440" i="6"/>
  <c r="P441" i="6" a="1"/>
  <c r="P441" i="6" s="1"/>
  <c r="P442" i="6" a="1"/>
  <c r="P442" i="6" s="1"/>
  <c r="P443" i="6" a="1"/>
  <c r="P443" i="6" s="1"/>
  <c r="P444" i="6" a="1"/>
  <c r="P444" i="6"/>
  <c r="P445" i="6" a="1"/>
  <c r="P445" i="6"/>
  <c r="P446" i="6" a="1"/>
  <c r="P446" i="6" s="1"/>
  <c r="P447" i="6" a="1"/>
  <c r="P447" i="6"/>
  <c r="P448" i="6" a="1"/>
  <c r="P448" i="6" s="1"/>
  <c r="P449" i="6" a="1"/>
  <c r="P449" i="6" s="1"/>
  <c r="P450" i="6" a="1"/>
  <c r="P450" i="6" s="1"/>
  <c r="P451" i="6" a="1"/>
  <c r="P451" i="6" s="1"/>
  <c r="P452" i="6" a="1"/>
  <c r="P452" i="6" s="1"/>
  <c r="P453" i="6" a="1"/>
  <c r="P453" i="6"/>
  <c r="P454" i="6" a="1"/>
  <c r="P454" i="6" s="1"/>
  <c r="P455" i="6" a="1"/>
  <c r="P455" i="6" s="1"/>
  <c r="P456" i="6" a="1"/>
  <c r="P456" i="6" s="1"/>
  <c r="P457" i="6" a="1"/>
  <c r="P457" i="6"/>
  <c r="P458" i="6" a="1"/>
  <c r="P458" i="6"/>
  <c r="P459" i="6" a="1"/>
  <c r="P459" i="6" s="1"/>
  <c r="P460" i="6" a="1"/>
  <c r="P460" i="6" s="1"/>
  <c r="P461" i="6" a="1"/>
  <c r="P461" i="6"/>
  <c r="P462" i="6" a="1"/>
  <c r="P462" i="6" s="1"/>
  <c r="P463" i="6" a="1"/>
  <c r="P463" i="6" s="1"/>
  <c r="P464" i="6" a="1"/>
  <c r="P464" i="6" s="1"/>
  <c r="P465" i="6" a="1"/>
  <c r="P465" i="6"/>
  <c r="P466" i="6" a="1"/>
  <c r="P466" i="6" s="1"/>
  <c r="P467" i="6" a="1"/>
  <c r="P467" i="6" s="1"/>
  <c r="P468" i="6" a="1"/>
  <c r="P468" i="6"/>
  <c r="P469" i="6" a="1"/>
  <c r="P469" i="6"/>
  <c r="P470" i="6" a="1"/>
  <c r="P470" i="6" s="1"/>
  <c r="P471" i="6" a="1"/>
  <c r="P471" i="6" s="1"/>
  <c r="P472" i="6" a="1"/>
  <c r="P472" i="6" s="1"/>
  <c r="P473" i="6" a="1"/>
  <c r="P473" i="6" s="1"/>
  <c r="P474" i="6" a="1"/>
  <c r="P474" i="6" s="1"/>
  <c r="P475" i="6" a="1"/>
  <c r="P475" i="6" s="1"/>
  <c r="P476" i="6" a="1"/>
  <c r="P476" i="6"/>
  <c r="P477" i="6" a="1"/>
  <c r="P477" i="6" s="1"/>
  <c r="P478" i="6" a="1"/>
  <c r="P478" i="6"/>
  <c r="P479" i="6" a="1"/>
  <c r="P479" i="6"/>
  <c r="P480" i="6" a="1"/>
  <c r="P480" i="6" s="1"/>
  <c r="P481" i="6" a="1"/>
  <c r="P481" i="6" s="1"/>
  <c r="P482" i="6" a="1"/>
  <c r="P482" i="6" s="1"/>
  <c r="P483" i="6" a="1"/>
  <c r="P483" i="6" s="1"/>
  <c r="P484" i="6" a="1"/>
  <c r="P484" i="6" s="1"/>
  <c r="P485" i="6" a="1"/>
  <c r="P485" i="6"/>
  <c r="P486" i="6" a="1"/>
  <c r="P486" i="6" s="1"/>
  <c r="P487" i="6" a="1"/>
  <c r="P487" i="6"/>
  <c r="P488" i="6" a="1"/>
  <c r="P488" i="6" s="1"/>
  <c r="P489" i="6" a="1"/>
  <c r="P489" i="6" s="1"/>
  <c r="P490" i="6" a="1"/>
  <c r="P490" i="6" s="1"/>
  <c r="P491" i="6" a="1"/>
  <c r="P491" i="6" s="1"/>
  <c r="P492" i="6" a="1"/>
  <c r="P492" i="6"/>
  <c r="P493" i="6" a="1"/>
  <c r="P493" i="6" s="1"/>
  <c r="P494" i="6" a="1"/>
  <c r="P494" i="6" s="1"/>
  <c r="P495" i="6" a="1"/>
  <c r="P495" i="6" s="1"/>
  <c r="P496" i="6" a="1"/>
  <c r="P496" i="6" s="1"/>
  <c r="P497" i="6" a="1"/>
  <c r="P497" i="6" s="1"/>
  <c r="P498" i="6" a="1"/>
  <c r="P498" i="6" s="1"/>
  <c r="P499" i="6" a="1"/>
  <c r="P499" i="6" s="1"/>
  <c r="P500" i="6" a="1"/>
  <c r="P500" i="6"/>
  <c r="P501" i="6" a="1"/>
  <c r="P501" i="6"/>
  <c r="P502" i="6" a="1"/>
  <c r="P502" i="6" s="1"/>
  <c r="P503" i="6" a="1"/>
  <c r="P503" i="6" s="1"/>
  <c r="P504" i="6" a="1"/>
  <c r="P504" i="6"/>
  <c r="P505" i="6" a="1"/>
  <c r="P505" i="6" s="1"/>
  <c r="P506" i="6" a="1"/>
  <c r="P506" i="6" s="1"/>
  <c r="P507" i="6" a="1"/>
  <c r="P507" i="6" s="1"/>
  <c r="P508" i="6" a="1"/>
  <c r="P508" i="6"/>
  <c r="P509" i="6" a="1"/>
  <c r="P509" i="6" s="1"/>
  <c r="P510" i="6" a="1"/>
  <c r="P510" i="6"/>
  <c r="P511" i="6" a="1"/>
  <c r="P511" i="6" s="1"/>
  <c r="P512" i="6" a="1"/>
  <c r="P512" i="6" s="1"/>
  <c r="P513" i="6" a="1"/>
  <c r="P513" i="6"/>
  <c r="P514" i="6" a="1"/>
  <c r="P514" i="6" s="1"/>
  <c r="P515" i="6" a="1"/>
  <c r="P515" i="6" s="1"/>
  <c r="P516" i="6" a="1"/>
  <c r="P516" i="6" s="1"/>
  <c r="P517" i="6" a="1"/>
  <c r="P517" i="6" s="1"/>
  <c r="P518" i="6" a="1"/>
  <c r="P518" i="6" s="1"/>
  <c r="P519" i="6" a="1"/>
  <c r="P519" i="6"/>
  <c r="P520" i="6" a="1"/>
  <c r="P520" i="6" s="1"/>
  <c r="P521" i="6" a="1"/>
  <c r="P521" i="6"/>
  <c r="P522" i="6" a="1"/>
  <c r="P522" i="6" s="1"/>
  <c r="P523" i="6" a="1"/>
  <c r="P523" i="6" s="1"/>
  <c r="P524" i="6" a="1"/>
  <c r="P524" i="6" s="1"/>
  <c r="P525" i="6" a="1"/>
  <c r="P525" i="6"/>
  <c r="P526" i="6" a="1"/>
  <c r="P526" i="6" s="1"/>
  <c r="P527" i="6" a="1"/>
  <c r="P527" i="6"/>
  <c r="P528" i="6" a="1"/>
  <c r="P528" i="6" s="1"/>
  <c r="P529" i="6" a="1"/>
  <c r="P529" i="6"/>
  <c r="P530" i="6" a="1"/>
  <c r="P530" i="6" s="1"/>
  <c r="P531" i="6" a="1"/>
  <c r="P531" i="6" s="1"/>
  <c r="P532" i="6" a="1"/>
  <c r="P532" i="6" s="1"/>
  <c r="P533" i="6" a="1"/>
  <c r="P533" i="6" s="1"/>
  <c r="P534" i="6" a="1"/>
  <c r="P534" i="6" s="1"/>
  <c r="P535" i="6" a="1"/>
  <c r="P535" i="6"/>
  <c r="P536" i="6" a="1"/>
  <c r="P536" i="6" s="1"/>
  <c r="P537" i="6" a="1"/>
  <c r="P537" i="6"/>
  <c r="P538" i="6" a="1"/>
  <c r="P538" i="6" s="1"/>
  <c r="P539" i="6" a="1"/>
  <c r="P539" i="6" s="1"/>
  <c r="P540" i="6" a="1"/>
  <c r="P540" i="6" s="1"/>
  <c r="P541" i="6" a="1"/>
  <c r="P541" i="6" s="1"/>
  <c r="P542" i="6" a="1"/>
  <c r="P542" i="6"/>
  <c r="P543" i="6" a="1"/>
  <c r="P543" i="6"/>
  <c r="P544" i="6" a="1"/>
  <c r="P544" i="6" s="1"/>
  <c r="P545" i="6" a="1"/>
  <c r="P545" i="6"/>
  <c r="P546" i="6" a="1"/>
  <c r="P546" i="6" s="1"/>
  <c r="P547" i="6" a="1"/>
  <c r="P547" i="6" s="1"/>
  <c r="P548" i="6" a="1"/>
  <c r="P548" i="6" s="1"/>
  <c r="P549" i="6" a="1"/>
  <c r="P549" i="6" s="1"/>
  <c r="P550" i="6" a="1"/>
  <c r="P550" i="6" s="1"/>
  <c r="P551" i="6" a="1"/>
  <c r="P551" i="6" s="1"/>
  <c r="P552" i="6" a="1"/>
  <c r="P552" i="6" s="1"/>
  <c r="P553" i="6" a="1"/>
  <c r="P553" i="6" s="1"/>
  <c r="P554" i="6" a="1"/>
  <c r="P554" i="6" s="1"/>
  <c r="P555" i="6" a="1"/>
  <c r="P555" i="6" s="1"/>
  <c r="P556" i="6" a="1"/>
  <c r="P556" i="6" s="1"/>
  <c r="P557" i="6" a="1"/>
  <c r="P557" i="6" s="1"/>
  <c r="P558" i="6" a="1"/>
  <c r="P558" i="6"/>
  <c r="P559" i="6" a="1"/>
  <c r="P559" i="6" s="1"/>
  <c r="P560" i="6" a="1"/>
  <c r="P560" i="6" s="1"/>
  <c r="P561" i="6" a="1"/>
  <c r="P561" i="6"/>
  <c r="P562" i="6" a="1"/>
  <c r="P562" i="6"/>
  <c r="P563" i="6" a="1"/>
  <c r="P563" i="6" s="1"/>
  <c r="P564" i="6" a="1"/>
  <c r="P564" i="6" s="1"/>
  <c r="P565" i="6" a="1"/>
  <c r="P565" i="6" s="1"/>
  <c r="P566" i="6" a="1"/>
  <c r="P566" i="6" s="1"/>
  <c r="P567" i="6" a="1"/>
  <c r="P567" i="6" s="1"/>
  <c r="P568" i="6" a="1"/>
  <c r="P568" i="6" s="1"/>
  <c r="P569" i="6" a="1"/>
  <c r="P569" i="6" s="1"/>
  <c r="P570" i="6" a="1"/>
  <c r="P570" i="6" s="1"/>
  <c r="P571" i="6" a="1"/>
  <c r="P571" i="6" s="1"/>
  <c r="P572" i="6" a="1"/>
  <c r="P572" i="6"/>
  <c r="P573" i="6" a="1"/>
  <c r="P573" i="6"/>
  <c r="P574" i="6" a="1"/>
  <c r="P574" i="6" s="1"/>
  <c r="P575" i="6" a="1"/>
  <c r="P575" i="6" s="1"/>
  <c r="P576" i="6" a="1"/>
  <c r="P576" i="6" s="1"/>
  <c r="P577" i="6" a="1"/>
  <c r="P577" i="6" s="1"/>
  <c r="P578" i="6" a="1"/>
  <c r="P578" i="6" s="1"/>
  <c r="P579" i="6" a="1"/>
  <c r="P579" i="6" s="1"/>
  <c r="P580" i="6" a="1"/>
  <c r="P580" i="6" s="1"/>
  <c r="P581" i="6" a="1"/>
  <c r="P581" i="6"/>
  <c r="P582" i="6" a="1"/>
  <c r="P582" i="6" s="1"/>
  <c r="P583" i="6" a="1"/>
  <c r="P583" i="6" s="1"/>
  <c r="P584" i="6" a="1"/>
  <c r="P584" i="6" s="1"/>
  <c r="P585" i="6" a="1"/>
  <c r="P585" i="6"/>
  <c r="P586" i="6" a="1"/>
  <c r="P586" i="6"/>
  <c r="P587" i="6" a="1"/>
  <c r="P587" i="6" s="1"/>
  <c r="P588" i="6" a="1"/>
  <c r="P588" i="6" s="1"/>
  <c r="P589" i="6" a="1"/>
  <c r="P589" i="6" s="1"/>
  <c r="P590" i="6" a="1"/>
  <c r="P590" i="6"/>
  <c r="P591" i="6" a="1"/>
  <c r="P591" i="6" s="1"/>
  <c r="P592" i="6" a="1"/>
  <c r="P592" i="6"/>
  <c r="P593" i="6" a="1"/>
  <c r="P593" i="6"/>
  <c r="P594" i="6" a="1"/>
  <c r="P594" i="6"/>
  <c r="P595" i="6" a="1"/>
  <c r="P595" i="6" s="1"/>
  <c r="P596" i="6" a="1"/>
  <c r="P596" i="6" s="1"/>
  <c r="P597" i="6" a="1"/>
  <c r="P597" i="6"/>
  <c r="P598" i="6" a="1"/>
  <c r="P598" i="6" s="1"/>
  <c r="P599" i="6" a="1"/>
  <c r="P599" i="6" s="1"/>
  <c r="P600" i="6" a="1"/>
  <c r="P600" i="6" s="1"/>
  <c r="P601" i="6" a="1"/>
  <c r="P601" i="6" s="1"/>
  <c r="P602" i="6" a="1"/>
  <c r="P602" i="6" s="1"/>
  <c r="P603" i="6" a="1"/>
  <c r="P603" i="6" s="1"/>
  <c r="P604" i="6" a="1"/>
  <c r="P604" i="6"/>
  <c r="P605" i="6" a="1"/>
  <c r="P605" i="6" s="1"/>
  <c r="P606" i="6" a="1"/>
  <c r="P606" i="6" s="1"/>
  <c r="P607" i="6" a="1"/>
  <c r="P607" i="6"/>
  <c r="P608" i="6" a="1"/>
  <c r="P608" i="6" s="1"/>
  <c r="P609" i="6" a="1"/>
  <c r="P609" i="6" s="1"/>
  <c r="P610" i="6" a="1"/>
  <c r="P610" i="6" s="1"/>
  <c r="P611" i="6" a="1"/>
  <c r="P611" i="6" s="1"/>
  <c r="P612" i="6" a="1"/>
  <c r="P612" i="6"/>
  <c r="P613" i="6" a="1"/>
  <c r="P613" i="6" s="1"/>
  <c r="P614" i="6" a="1"/>
  <c r="P614" i="6"/>
  <c r="P615" i="6" a="1"/>
  <c r="P615" i="6"/>
  <c r="P616" i="6" a="1"/>
  <c r="P616" i="6" s="1"/>
  <c r="P617" i="6" a="1"/>
  <c r="P617" i="6" s="1"/>
  <c r="P618" i="6" a="1"/>
  <c r="P618" i="6" s="1"/>
  <c r="P619" i="6" a="1"/>
  <c r="P619" i="6" s="1"/>
  <c r="P620" i="6" a="1"/>
  <c r="P620" i="6" s="1"/>
  <c r="P621" i="6" a="1"/>
  <c r="P621" i="6" s="1"/>
  <c r="P622" i="6" a="1"/>
  <c r="P622" i="6"/>
  <c r="P623" i="6" a="1"/>
  <c r="P623" i="6"/>
  <c r="P624" i="6" a="1"/>
  <c r="P624" i="6" s="1"/>
  <c r="P625" i="6" a="1"/>
  <c r="P625" i="6" s="1"/>
  <c r="P626" i="6" a="1"/>
  <c r="P626" i="6" s="1"/>
  <c r="P627" i="6" a="1"/>
  <c r="P627" i="6" s="1"/>
  <c r="P628" i="6" a="1"/>
  <c r="P628" i="6"/>
  <c r="P629" i="6" a="1"/>
  <c r="P629" i="6" s="1"/>
  <c r="P630" i="6" a="1"/>
  <c r="P630" i="6"/>
  <c r="P631" i="6" a="1"/>
  <c r="P631" i="6" s="1"/>
  <c r="P632" i="6" a="1"/>
  <c r="P632" i="6"/>
  <c r="P633" i="6" a="1"/>
  <c r="P633" i="6" s="1"/>
  <c r="P634" i="6" a="1"/>
  <c r="P634" i="6" s="1"/>
  <c r="P635" i="6" a="1"/>
  <c r="P635" i="6" s="1"/>
  <c r="P636" i="6" a="1"/>
  <c r="P636" i="6" s="1"/>
  <c r="P637" i="6" a="1"/>
  <c r="P637" i="6" s="1"/>
  <c r="P638" i="6" a="1"/>
  <c r="P638" i="6" s="1"/>
  <c r="P639" i="6" a="1"/>
  <c r="P639" i="6" s="1"/>
  <c r="P640" i="6" a="1"/>
  <c r="P640" i="6"/>
  <c r="P641" i="6" a="1"/>
  <c r="P641" i="6" s="1"/>
  <c r="P642" i="6" a="1"/>
  <c r="P642" i="6" s="1"/>
  <c r="P643" i="6" a="1"/>
  <c r="P643" i="6" s="1"/>
  <c r="P644" i="6" a="1"/>
  <c r="P644" i="6" s="1"/>
  <c r="P645" i="6" a="1"/>
  <c r="P645" i="6" s="1"/>
  <c r="P646" i="6" a="1"/>
  <c r="P646" i="6"/>
  <c r="P647" i="6" a="1"/>
  <c r="P647" i="6" s="1"/>
  <c r="P648" i="6" a="1"/>
  <c r="P648" i="6"/>
  <c r="P649" i="6" a="1"/>
  <c r="P649" i="6" s="1"/>
  <c r="P650" i="6" a="1"/>
  <c r="P650" i="6" s="1"/>
  <c r="P651" i="6" a="1"/>
  <c r="P651" i="6" s="1"/>
  <c r="P652" i="6" a="1"/>
  <c r="P652" i="6" s="1"/>
  <c r="P653" i="6" a="1"/>
  <c r="P653" i="6" s="1"/>
  <c r="P654" i="6" a="1"/>
  <c r="P654" i="6"/>
  <c r="P655" i="6" a="1"/>
  <c r="P655" i="6" s="1"/>
  <c r="P656" i="6" a="1"/>
  <c r="P656" i="6"/>
  <c r="P657" i="6" a="1"/>
  <c r="P657" i="6"/>
  <c r="P658" i="6" a="1"/>
  <c r="P658" i="6" s="1"/>
  <c r="P659" i="6" a="1"/>
  <c r="P659" i="6" s="1"/>
  <c r="P660" i="6" a="1"/>
  <c r="P660" i="6" s="1"/>
  <c r="P661" i="6" a="1"/>
  <c r="P661" i="6" s="1"/>
  <c r="P662" i="6" a="1"/>
  <c r="P662" i="6" s="1"/>
  <c r="P663" i="6" a="1"/>
  <c r="P663" i="6" s="1"/>
  <c r="P664" i="6" a="1"/>
  <c r="P664" i="6" s="1"/>
  <c r="P665" i="6" a="1"/>
  <c r="P665" i="6" s="1"/>
  <c r="P666" i="6" a="1"/>
  <c r="P666" i="6" s="1"/>
  <c r="P667" i="6" a="1"/>
  <c r="P667" i="6" s="1"/>
  <c r="P668" i="6" a="1"/>
  <c r="P668" i="6" s="1"/>
  <c r="P669" i="6" a="1"/>
  <c r="P669" i="6" s="1"/>
  <c r="P670" i="6" a="1"/>
  <c r="P670" i="6"/>
  <c r="P671" i="6" a="1"/>
  <c r="P671" i="6"/>
  <c r="P672" i="6" a="1"/>
  <c r="P672" i="6" s="1"/>
  <c r="P673" i="6" a="1"/>
  <c r="P673" i="6" s="1"/>
  <c r="P674" i="6" a="1"/>
  <c r="P674" i="6" s="1"/>
  <c r="P675" i="6" a="1"/>
  <c r="P675" i="6" s="1"/>
  <c r="P676" i="6" a="1"/>
  <c r="P676" i="6" s="1"/>
  <c r="P677" i="6" a="1"/>
  <c r="P677" i="6" s="1"/>
  <c r="P678" i="6" a="1"/>
  <c r="P678" i="6" s="1"/>
  <c r="P679" i="6" a="1"/>
  <c r="P679" i="6"/>
  <c r="P680" i="6" a="1"/>
  <c r="P680" i="6" s="1"/>
  <c r="P681" i="6" a="1"/>
  <c r="P681" i="6" s="1"/>
  <c r="P682" i="6" a="1"/>
  <c r="P682" i="6"/>
  <c r="P683" i="6" a="1"/>
  <c r="P683" i="6" s="1"/>
  <c r="P684" i="6" a="1"/>
  <c r="P684" i="6" s="1"/>
  <c r="P685" i="6" a="1"/>
  <c r="P685" i="6" s="1"/>
  <c r="P686" i="6" a="1"/>
  <c r="P686" i="6" s="1"/>
  <c r="P687" i="6" a="1"/>
  <c r="P687" i="6" s="1"/>
  <c r="P688" i="6" a="1"/>
  <c r="P688" i="6"/>
  <c r="P689" i="6" a="1"/>
  <c r="P689" i="6" s="1"/>
  <c r="P690" i="6" a="1"/>
  <c r="P690" i="6"/>
  <c r="P691" i="6" a="1"/>
  <c r="P691" i="6" s="1"/>
  <c r="P692" i="6" a="1"/>
  <c r="P692" i="6" s="1"/>
  <c r="P693" i="6" a="1"/>
  <c r="P693" i="6" s="1"/>
  <c r="P694" i="6" a="1"/>
  <c r="P694" i="6" s="1"/>
  <c r="P695" i="6" a="1"/>
  <c r="P695" i="6" s="1"/>
  <c r="P696" i="6" a="1"/>
  <c r="P696" i="6" s="1"/>
  <c r="P697" i="6" a="1"/>
  <c r="P697" i="6"/>
  <c r="P698" i="6" a="1"/>
  <c r="P698" i="6"/>
  <c r="P699" i="6" a="1"/>
  <c r="P699" i="6"/>
  <c r="P700" i="6" a="1"/>
  <c r="P700" i="6" s="1"/>
  <c r="P701" i="6" a="1"/>
  <c r="P701" i="6" s="1"/>
  <c r="P702" i="6" a="1"/>
  <c r="P702" i="6" s="1"/>
  <c r="P703" i="6" a="1"/>
  <c r="P703" i="6" s="1"/>
  <c r="P704" i="6" a="1"/>
  <c r="P704" i="6"/>
  <c r="P705" i="6" a="1"/>
  <c r="P705" i="6"/>
  <c r="P706" i="6" a="1"/>
  <c r="P706" i="6" s="1"/>
  <c r="P707" i="6" a="1"/>
  <c r="P707" i="6" s="1"/>
  <c r="P708" i="6" a="1"/>
  <c r="P708" i="6" s="1"/>
  <c r="P709" i="6" a="1"/>
  <c r="P709" i="6" s="1"/>
  <c r="P710" i="6" a="1"/>
  <c r="P710" i="6" s="1"/>
  <c r="P711" i="6" a="1"/>
  <c r="P711" i="6" s="1"/>
  <c r="P712" i="6" a="1"/>
  <c r="P712" i="6"/>
  <c r="P713" i="6" a="1"/>
  <c r="P713" i="6"/>
  <c r="P714" i="6" a="1"/>
  <c r="P714" i="6" s="1"/>
  <c r="P715" i="6" a="1"/>
  <c r="P715" i="6" s="1"/>
  <c r="P716" i="6" a="1"/>
  <c r="P716" i="6" s="1"/>
  <c r="P717" i="6" a="1"/>
  <c r="P717" i="6" s="1"/>
  <c r="P718" i="6" a="1"/>
  <c r="P718" i="6" s="1"/>
  <c r="P719" i="6" a="1"/>
  <c r="P719" i="6" s="1"/>
  <c r="P720" i="6" a="1"/>
  <c r="P720" i="6" s="1"/>
  <c r="P721" i="6" a="1"/>
  <c r="P721" i="6" s="1"/>
  <c r="P722" i="6" a="1"/>
  <c r="P722" i="6"/>
  <c r="P723" i="6" a="1"/>
  <c r="P723" i="6"/>
  <c r="P724" i="6" a="1"/>
  <c r="P724" i="6" s="1"/>
  <c r="P725" i="6" a="1"/>
  <c r="P725" i="6" s="1"/>
  <c r="P726" i="6" a="1"/>
  <c r="P726" i="6" s="1"/>
  <c r="P727" i="6" a="1"/>
  <c r="P727" i="6" s="1"/>
  <c r="P728" i="6" a="1"/>
  <c r="P728" i="6"/>
  <c r="P729" i="6" a="1"/>
  <c r="P729" i="6"/>
  <c r="P730" i="6" a="1"/>
  <c r="P730" i="6" s="1"/>
  <c r="P731" i="6" a="1"/>
  <c r="P731" i="6" s="1"/>
  <c r="P732" i="6" a="1"/>
  <c r="P732" i="6" s="1"/>
  <c r="P733" i="6" a="1"/>
  <c r="P733" i="6" s="1"/>
  <c r="P734" i="6" a="1"/>
  <c r="P734" i="6" s="1"/>
  <c r="P735" i="6" a="1"/>
  <c r="P735" i="6"/>
  <c r="P736" i="6" a="1"/>
  <c r="P736" i="6"/>
  <c r="P737" i="6" a="1"/>
  <c r="P737" i="6" s="1"/>
  <c r="P738" i="6" a="1"/>
  <c r="P738" i="6" s="1"/>
  <c r="P739" i="6" a="1"/>
  <c r="P739" i="6"/>
  <c r="P740" i="6" a="1"/>
  <c r="P740" i="6" s="1"/>
  <c r="P741" i="6" a="1"/>
  <c r="P741" i="6" s="1"/>
  <c r="P742" i="6" a="1"/>
  <c r="P742" i="6" s="1"/>
  <c r="P743" i="6" a="1"/>
  <c r="P743" i="6" s="1"/>
  <c r="P744" i="6" a="1"/>
  <c r="P744" i="6" s="1"/>
  <c r="P745" i="6" a="1"/>
  <c r="P745" i="6" s="1"/>
  <c r="P746" i="6" a="1"/>
  <c r="P746" i="6"/>
  <c r="P747" i="6" a="1"/>
  <c r="P747" i="6"/>
  <c r="P748" i="6" a="1"/>
  <c r="P748" i="6" s="1"/>
  <c r="P749" i="6" a="1"/>
  <c r="P749" i="6" s="1"/>
  <c r="P750" i="6" a="1"/>
  <c r="P750" i="6" s="1"/>
  <c r="P751" i="6" a="1"/>
  <c r="P751" i="6" s="1"/>
  <c r="P752" i="6" a="1"/>
  <c r="P752" i="6" s="1"/>
  <c r="P753" i="6" a="1"/>
  <c r="P753" i="6"/>
  <c r="P754" i="6" a="1"/>
  <c r="P754" i="6" s="1"/>
  <c r="P755" i="6" a="1"/>
  <c r="P755" i="6" s="1"/>
  <c r="P756" i="6" a="1"/>
  <c r="P756" i="6" s="1"/>
  <c r="P757" i="6" a="1"/>
  <c r="P757" i="6" s="1"/>
  <c r="P758" i="6" a="1"/>
  <c r="P758" i="6" s="1"/>
  <c r="P759" i="6" a="1"/>
  <c r="P759" i="6"/>
  <c r="P760" i="6" a="1"/>
  <c r="P760" i="6"/>
  <c r="P761" i="6" a="1"/>
  <c r="P761" i="6"/>
  <c r="P762" i="6" a="1"/>
  <c r="P762" i="6" s="1"/>
  <c r="P763" i="6" a="1"/>
  <c r="P763" i="6" s="1"/>
  <c r="P764" i="6" a="1"/>
  <c r="P764" i="6" s="1"/>
  <c r="P765" i="6" a="1"/>
  <c r="P765" i="6" s="1"/>
  <c r="P766" i="6" a="1"/>
  <c r="P766" i="6" s="1"/>
  <c r="P767" i="6" a="1"/>
  <c r="P767" i="6" s="1"/>
  <c r="P768" i="6" a="1"/>
  <c r="P768" i="6"/>
  <c r="P769" i="6" a="1"/>
  <c r="P769" i="6"/>
  <c r="P770" i="6" a="1"/>
  <c r="P770" i="6"/>
  <c r="P771" i="6" a="1"/>
  <c r="P771" i="6"/>
  <c r="P772" i="6" a="1"/>
  <c r="P772" i="6" s="1"/>
  <c r="P773" i="6" a="1"/>
  <c r="P773" i="6" s="1"/>
  <c r="P774" i="6" a="1"/>
  <c r="P774" i="6" s="1"/>
  <c r="P775" i="6" a="1"/>
  <c r="P775" i="6" s="1"/>
  <c r="P776" i="6" a="1"/>
  <c r="P776" i="6" s="1"/>
  <c r="P777" i="6" a="1"/>
  <c r="P777" i="6" s="1"/>
  <c r="P778" i="6" a="1"/>
  <c r="P778" i="6" s="1"/>
  <c r="P779" i="6" a="1"/>
  <c r="P779" i="6"/>
  <c r="P780" i="6" a="1"/>
  <c r="P780" i="6" s="1"/>
  <c r="P781" i="6" a="1"/>
  <c r="P781" i="6" s="1"/>
  <c r="P782" i="6" a="1"/>
  <c r="P782" i="6" s="1"/>
  <c r="P783" i="6" a="1"/>
  <c r="P783" i="6" s="1"/>
  <c r="P784" i="6" a="1"/>
  <c r="P784" i="6"/>
  <c r="P785" i="6" a="1"/>
  <c r="P785" i="6"/>
  <c r="P786" i="6" a="1"/>
  <c r="P786" i="6" s="1"/>
  <c r="P787" i="6" a="1"/>
  <c r="P787" i="6" s="1"/>
  <c r="P788" i="6" a="1"/>
  <c r="P788" i="6" s="1"/>
  <c r="P789" i="6" a="1"/>
  <c r="P789" i="6" s="1"/>
  <c r="P790" i="6" a="1"/>
  <c r="P790" i="6" s="1"/>
  <c r="P791" i="6" a="1"/>
  <c r="P791" i="6" s="1"/>
  <c r="P792" i="6" a="1"/>
  <c r="P792" i="6"/>
  <c r="P793" i="6" a="1"/>
  <c r="P793" i="6" s="1"/>
  <c r="P794" i="6" a="1"/>
  <c r="P794" i="6" s="1"/>
  <c r="P795" i="6" a="1"/>
  <c r="P795" i="6"/>
  <c r="P796" i="6" a="1"/>
  <c r="P796" i="6" s="1"/>
  <c r="P797" i="6" a="1"/>
  <c r="P797" i="6" s="1"/>
  <c r="P798" i="6" a="1"/>
  <c r="P798" i="6" s="1"/>
  <c r="P799" i="6" a="1"/>
  <c r="P799" i="6" s="1"/>
  <c r="P800" i="6" a="1"/>
  <c r="P800" i="6" s="1"/>
  <c r="P801" i="6" a="1"/>
  <c r="P801" i="6" s="1"/>
  <c r="P802" i="6" a="1"/>
  <c r="P802" i="6"/>
  <c r="P803" i="6" a="1"/>
  <c r="P803" i="6" s="1"/>
  <c r="P804" i="6" a="1"/>
  <c r="P804" i="6" s="1"/>
  <c r="P805" i="6" a="1"/>
  <c r="P805" i="6" s="1"/>
  <c r="P806" i="6" a="1"/>
  <c r="P806" i="6" s="1"/>
  <c r="P807" i="6" a="1"/>
  <c r="P807" i="6"/>
  <c r="P808" i="6" a="1"/>
  <c r="P808" i="6"/>
  <c r="P809" i="6" a="1"/>
  <c r="P809" i="6" s="1"/>
  <c r="P810" i="6" a="1"/>
  <c r="P810" i="6" s="1"/>
  <c r="P811" i="6" a="1"/>
  <c r="P811" i="6" s="1"/>
  <c r="P812" i="6" a="1"/>
  <c r="P812" i="6" s="1"/>
  <c r="P813" i="6" a="1"/>
  <c r="P813" i="6" s="1"/>
  <c r="P814" i="6" a="1"/>
  <c r="P814" i="6" s="1"/>
  <c r="P815" i="6" a="1"/>
  <c r="P815" i="6" s="1"/>
  <c r="P816" i="6" a="1"/>
  <c r="P816" i="6" s="1"/>
  <c r="P817" i="6" a="1"/>
  <c r="P817" i="6"/>
  <c r="P818" i="6" a="1"/>
  <c r="P818" i="6"/>
  <c r="P819" i="6" a="1"/>
  <c r="P819" i="6"/>
  <c r="P820" i="6" a="1"/>
  <c r="P820" i="6" s="1"/>
  <c r="P821" i="6" a="1"/>
  <c r="P821" i="6" s="1"/>
  <c r="P822" i="6" a="1"/>
  <c r="P822" i="6" s="1"/>
  <c r="P823" i="6" a="1"/>
  <c r="P823" i="6" s="1"/>
  <c r="P824" i="6" a="1"/>
  <c r="P824" i="6" s="1"/>
  <c r="P825" i="6" a="1"/>
  <c r="P825" i="6" s="1"/>
  <c r="P826" i="6" a="1"/>
  <c r="P826" i="6"/>
  <c r="P827" i="6" a="1"/>
  <c r="P827" i="6" s="1"/>
  <c r="P828" i="6" a="1"/>
  <c r="P828" i="6" s="1"/>
  <c r="P829" i="6" a="1"/>
  <c r="P829" i="6" s="1"/>
  <c r="P830" i="6" a="1"/>
  <c r="P830" i="6" s="1"/>
  <c r="P831" i="6" a="1"/>
  <c r="P831" i="6" s="1"/>
  <c r="P832" i="6" a="1"/>
  <c r="P832" i="6" s="1"/>
  <c r="P833" i="6" a="1"/>
  <c r="P833" i="6"/>
  <c r="P834" i="6" a="1"/>
  <c r="P834" i="6" s="1"/>
  <c r="P835" i="6" a="1"/>
  <c r="P835" i="6" s="1"/>
  <c r="P836" i="6" a="1"/>
  <c r="P836" i="6" s="1"/>
  <c r="P837" i="6" a="1"/>
  <c r="P837" i="6" s="1"/>
  <c r="P838" i="6" a="1"/>
  <c r="P838" i="6" s="1"/>
  <c r="P839" i="6" a="1"/>
  <c r="P839" i="6" s="1"/>
  <c r="P840" i="6" a="1"/>
  <c r="P840" i="6"/>
  <c r="P841" i="6" a="1"/>
  <c r="P841" i="6"/>
  <c r="P842" i="6" a="1"/>
  <c r="P842" i="6" s="1"/>
  <c r="P843" i="6" a="1"/>
  <c r="P843" i="6"/>
  <c r="P844" i="6" a="1"/>
  <c r="P844" i="6" s="1"/>
  <c r="P845" i="6" a="1"/>
  <c r="P845" i="6" s="1"/>
  <c r="P846" i="6" a="1"/>
  <c r="P846" i="6" s="1"/>
  <c r="P847" i="6" a="1"/>
  <c r="P847" i="6" s="1"/>
  <c r="P848" i="6" a="1"/>
  <c r="P848" i="6"/>
  <c r="P849" i="6" a="1"/>
  <c r="P849" i="6" s="1"/>
  <c r="P850" i="6" a="1"/>
  <c r="P850" i="6"/>
  <c r="P851" i="6" a="1"/>
  <c r="P851" i="6"/>
  <c r="P852" i="6" a="1"/>
  <c r="P852" i="6" s="1"/>
  <c r="P853" i="6" a="1"/>
  <c r="P853" i="6" s="1"/>
  <c r="P854" i="6" a="1"/>
  <c r="P854" i="6" s="1"/>
  <c r="P855" i="6" a="1"/>
  <c r="P855" i="6" s="1"/>
  <c r="P856" i="6" a="1"/>
  <c r="P856" i="6"/>
  <c r="P857" i="6" a="1"/>
  <c r="P857" i="6" s="1"/>
  <c r="P858" i="6" a="1"/>
  <c r="P858" i="6"/>
  <c r="P859" i="6" a="1"/>
  <c r="P859" i="6" s="1"/>
  <c r="P860" i="6" a="1"/>
  <c r="P860" i="6" s="1"/>
  <c r="P861" i="6" a="1"/>
  <c r="P861" i="6" s="1"/>
  <c r="P862" i="6" a="1"/>
  <c r="P862" i="6" s="1"/>
  <c r="P863" i="6" a="1"/>
  <c r="P863" i="6" s="1"/>
  <c r="P864" i="6" a="1"/>
  <c r="P864" i="6"/>
  <c r="P865" i="6" a="1"/>
  <c r="P865" i="6" s="1"/>
  <c r="P866" i="6" a="1"/>
  <c r="P866" i="6"/>
  <c r="P867" i="6" a="1"/>
  <c r="P867" i="6" s="1"/>
  <c r="P868" i="6" a="1"/>
  <c r="P868" i="6" s="1"/>
  <c r="P869" i="6" a="1"/>
  <c r="P869" i="6" s="1"/>
  <c r="P870" i="6" a="1"/>
  <c r="P870" i="6" s="1"/>
  <c r="P871" i="6" a="1"/>
  <c r="P871" i="6" s="1"/>
  <c r="P872" i="6" a="1"/>
  <c r="P872" i="6" s="1"/>
  <c r="P873" i="6" a="1"/>
  <c r="P873" i="6" s="1"/>
  <c r="P874" i="6" a="1"/>
  <c r="P874" i="6"/>
  <c r="P875" i="6" a="1"/>
  <c r="P875" i="6" s="1"/>
  <c r="P876" i="6" a="1"/>
  <c r="P876" i="6" s="1"/>
  <c r="P877" i="6" a="1"/>
  <c r="P877" i="6" s="1"/>
  <c r="P878" i="6" a="1"/>
  <c r="P878" i="6" s="1"/>
  <c r="P879" i="6" a="1"/>
  <c r="P879" i="6" s="1"/>
  <c r="P880" i="6" a="1"/>
  <c r="P880" i="6" s="1"/>
  <c r="P881" i="6" a="1"/>
  <c r="P881" i="6"/>
  <c r="P882" i="6" a="1"/>
  <c r="P882" i="6" s="1"/>
  <c r="P883" i="6" a="1"/>
  <c r="P883" i="6" s="1"/>
  <c r="P884" i="6" a="1"/>
  <c r="P884" i="6" s="1"/>
  <c r="P885" i="6" a="1"/>
  <c r="P885" i="6" s="1"/>
  <c r="P886" i="6" a="1"/>
  <c r="P886" i="6" s="1"/>
  <c r="P887" i="6" a="1"/>
  <c r="P887" i="6" s="1"/>
  <c r="P888" i="6" a="1"/>
  <c r="P888" i="6"/>
  <c r="P889" i="6" a="1"/>
  <c r="P889" i="6" s="1"/>
  <c r="P890" i="6" a="1"/>
  <c r="P890" i="6" s="1"/>
  <c r="P891" i="6" a="1"/>
  <c r="P891" i="6" s="1"/>
  <c r="P892" i="6" a="1"/>
  <c r="P892" i="6" s="1"/>
  <c r="P893" i="6" a="1"/>
  <c r="P893" i="6" s="1"/>
  <c r="P894" i="6" a="1"/>
  <c r="P894" i="6" s="1"/>
  <c r="P895" i="6" a="1"/>
  <c r="P895" i="6"/>
  <c r="P896" i="6" a="1"/>
  <c r="P896" i="6"/>
  <c r="P897" i="6" a="1"/>
  <c r="P897" i="6" s="1"/>
  <c r="P898" i="6" a="1"/>
  <c r="P898" i="6"/>
  <c r="P899" i="6" a="1"/>
  <c r="P899" i="6"/>
  <c r="P900" i="6" a="1"/>
  <c r="P900" i="6" s="1"/>
  <c r="P901" i="6" a="1"/>
  <c r="P901" i="6" s="1"/>
  <c r="P902" i="6" a="1"/>
  <c r="P902" i="6" s="1"/>
  <c r="P903" i="6" a="1"/>
  <c r="P903" i="6" s="1"/>
  <c r="P904" i="6" a="1"/>
  <c r="P904" i="6" s="1"/>
  <c r="P905" i="6" a="1"/>
  <c r="P905" i="6" s="1"/>
  <c r="P906" i="6" a="1"/>
  <c r="P906" i="6" s="1"/>
  <c r="P907" i="6" a="1"/>
  <c r="P907" i="6"/>
  <c r="P908" i="6" a="1"/>
  <c r="P908" i="6" s="1"/>
  <c r="P909" i="6" a="1"/>
  <c r="P909" i="6" s="1"/>
  <c r="P910" i="6" a="1"/>
  <c r="P910" i="6" s="1"/>
  <c r="P911" i="6" a="1"/>
  <c r="P911" i="6"/>
  <c r="P912" i="6" a="1"/>
  <c r="P912" i="6" s="1"/>
  <c r="P913" i="6" a="1"/>
  <c r="P913" i="6" s="1"/>
  <c r="P914" i="6" a="1"/>
  <c r="P914" i="6" s="1"/>
  <c r="P915" i="6" a="1"/>
  <c r="P915" i="6"/>
  <c r="P916" i="6" a="1"/>
  <c r="P916" i="6" s="1"/>
  <c r="P917" i="6" a="1"/>
  <c r="P917" i="6" s="1"/>
  <c r="P918" i="6" a="1"/>
  <c r="P918" i="6" s="1"/>
  <c r="P919" i="6" a="1"/>
  <c r="P919" i="6"/>
  <c r="P920" i="6" a="1"/>
  <c r="P920" i="6"/>
  <c r="P921" i="6" a="1"/>
  <c r="P921" i="6" s="1"/>
  <c r="P922" i="6" a="1"/>
  <c r="P922" i="6"/>
  <c r="P923" i="6" a="1"/>
  <c r="P923" i="6" s="1"/>
  <c r="P924" i="6" a="1"/>
  <c r="P924" i="6" s="1"/>
  <c r="P925" i="6" a="1"/>
  <c r="P925" i="6" s="1"/>
  <c r="P926" i="6" a="1"/>
  <c r="P926" i="6" s="1"/>
  <c r="P927" i="6" a="1"/>
  <c r="P927" i="6"/>
  <c r="P928" i="6" a="1"/>
  <c r="P928" i="6" s="1"/>
  <c r="P929" i="6" a="1"/>
  <c r="P929" i="6" s="1"/>
  <c r="P930" i="6" a="1"/>
  <c r="P930" i="6"/>
  <c r="P931" i="6" a="1"/>
  <c r="P931" i="6"/>
  <c r="P932" i="6" a="1"/>
  <c r="P932" i="6" s="1"/>
  <c r="P933" i="6" a="1"/>
  <c r="P933" i="6" s="1"/>
  <c r="P934" i="6" a="1"/>
  <c r="P934" i="6" s="1"/>
  <c r="P935" i="6" a="1"/>
  <c r="P935" i="6" s="1"/>
  <c r="P936" i="6" a="1"/>
  <c r="P936" i="6"/>
  <c r="P937" i="6" a="1"/>
  <c r="P937" i="6" s="1"/>
  <c r="P938" i="6" a="1"/>
  <c r="P938" i="6"/>
  <c r="P939" i="6" a="1"/>
  <c r="P939" i="6"/>
  <c r="P940" i="6" a="1"/>
  <c r="P940" i="6" s="1"/>
  <c r="P941" i="6" a="1"/>
  <c r="P941" i="6" s="1"/>
  <c r="P942" i="6" a="1"/>
  <c r="P942" i="6" s="1"/>
  <c r="P943" i="6" a="1"/>
  <c r="P943" i="6"/>
  <c r="P944" i="6" a="1"/>
  <c r="P944" i="6" s="1"/>
  <c r="P945" i="6" a="1"/>
  <c r="P945" i="6"/>
  <c r="P946" i="6" a="1"/>
  <c r="P946" i="6" s="1"/>
  <c r="P947" i="6" a="1"/>
  <c r="P947" i="6" s="1"/>
  <c r="P948" i="6" a="1"/>
  <c r="P948" i="6" s="1"/>
  <c r="P949" i="6" a="1"/>
  <c r="P949" i="6" s="1"/>
  <c r="P950" i="6" a="1"/>
  <c r="P950" i="6" s="1"/>
  <c r="P951" i="6" a="1"/>
  <c r="P951" i="6" s="1"/>
  <c r="P952" i="6" a="1"/>
  <c r="P952" i="6" s="1"/>
  <c r="P953" i="6" a="1"/>
  <c r="P953" i="6"/>
  <c r="P954" i="6" a="1"/>
  <c r="P954" i="6"/>
  <c r="P955" i="6" a="1"/>
  <c r="P955" i="6" s="1"/>
  <c r="P956" i="6" a="1"/>
  <c r="P956" i="6" s="1"/>
  <c r="P957" i="6" a="1"/>
  <c r="P957" i="6" s="1"/>
  <c r="P958" i="6" a="1"/>
  <c r="P958" i="6" s="1"/>
  <c r="P959" i="6" a="1"/>
  <c r="P959" i="6"/>
  <c r="O2" i="6" a="1"/>
  <c r="O2" i="6" s="1"/>
  <c r="O3" i="6" a="1"/>
  <c r="O3" i="6" s="1"/>
  <c r="O4" i="6" a="1"/>
  <c r="O4" i="6"/>
  <c r="O5" i="6" a="1"/>
  <c r="O5" i="6" s="1"/>
  <c r="O6" i="6" a="1"/>
  <c r="O6" i="6" s="1"/>
  <c r="O7" i="6" a="1"/>
  <c r="O7" i="6" s="1"/>
  <c r="O8" i="6" a="1"/>
  <c r="O8" i="6" s="1"/>
  <c r="O9" i="6" a="1"/>
  <c r="O9" i="6" s="1"/>
  <c r="O10" i="6" a="1"/>
  <c r="O10" i="6" s="1"/>
  <c r="O11" i="6" a="1"/>
  <c r="O11" i="6" s="1"/>
  <c r="O12" i="6" a="1"/>
  <c r="O12" i="6" s="1"/>
  <c r="O13" i="6" a="1"/>
  <c r="O13" i="6" s="1"/>
  <c r="O14" i="6" a="1"/>
  <c r="O14" i="6" s="1"/>
  <c r="O15" i="6" a="1"/>
  <c r="O15" i="6" s="1"/>
  <c r="O16" i="6" a="1"/>
  <c r="O16" i="6"/>
  <c r="O17" i="6" a="1"/>
  <c r="O17" i="6"/>
  <c r="O18" i="6" a="1"/>
  <c r="O18" i="6" s="1"/>
  <c r="O19" i="6" a="1"/>
  <c r="O19" i="6" s="1"/>
  <c r="O20" i="6" a="1"/>
  <c r="O20" i="6" s="1"/>
  <c r="O21" i="6" a="1"/>
  <c r="O21" i="6" s="1"/>
  <c r="O22" i="6" a="1"/>
  <c r="O22" i="6" s="1"/>
  <c r="O23" i="6" a="1"/>
  <c r="O23" i="6" s="1"/>
  <c r="O24" i="6" a="1"/>
  <c r="O24" i="6" s="1"/>
  <c r="O25" i="6" a="1"/>
  <c r="O25" i="6"/>
  <c r="O26" i="6" a="1"/>
  <c r="O26" i="6" s="1"/>
  <c r="O27" i="6" a="1"/>
  <c r="O27" i="6" s="1"/>
  <c r="O28" i="6" a="1"/>
  <c r="O28" i="6"/>
  <c r="O29" i="6" a="1"/>
  <c r="O29" i="6" s="1"/>
  <c r="O30" i="6" a="1"/>
  <c r="O30" i="6"/>
  <c r="O31" i="6" a="1"/>
  <c r="O31" i="6" s="1"/>
  <c r="O32" i="6" a="1"/>
  <c r="O32" i="6" s="1"/>
  <c r="O33" i="6" a="1"/>
  <c r="O33" i="6" s="1"/>
  <c r="O34" i="6" a="1"/>
  <c r="O34" i="6" s="1"/>
  <c r="O35" i="6" a="1"/>
  <c r="O35" i="6" s="1"/>
  <c r="O36" i="6" a="1"/>
  <c r="O36" i="6" s="1"/>
  <c r="O37" i="6" a="1"/>
  <c r="O37" i="6" s="1"/>
  <c r="O38" i="6" a="1"/>
  <c r="O38" i="6"/>
  <c r="O39" i="6" a="1"/>
  <c r="O39" i="6" s="1"/>
  <c r="O40" i="6" a="1"/>
  <c r="O40" i="6" s="1"/>
  <c r="O41" i="6" a="1"/>
  <c r="O41" i="6" s="1"/>
  <c r="O42" i="6" a="1"/>
  <c r="O42" i="6" s="1"/>
  <c r="O43" i="6" a="1"/>
  <c r="O43" i="6" s="1"/>
  <c r="O44" i="6" a="1"/>
  <c r="O44" i="6" s="1"/>
  <c r="O45" i="6" a="1"/>
  <c r="O45" i="6" s="1"/>
  <c r="O46" i="6" a="1"/>
  <c r="O46" i="6" s="1"/>
  <c r="O47" i="6" a="1"/>
  <c r="O47" i="6"/>
  <c r="O48" i="6" a="1"/>
  <c r="O48" i="6" s="1"/>
  <c r="O49" i="6" a="1"/>
  <c r="O49" i="6" s="1"/>
  <c r="O50" i="6" a="1"/>
  <c r="O50" i="6" s="1"/>
  <c r="O51" i="6" a="1"/>
  <c r="O51" i="6"/>
  <c r="O52" i="6" a="1"/>
  <c r="O52" i="6" s="1"/>
  <c r="O53" i="6" a="1"/>
  <c r="O53" i="6" s="1"/>
  <c r="O54" i="6" a="1"/>
  <c r="O54" i="6"/>
  <c r="O55" i="6" a="1"/>
  <c r="O55" i="6"/>
  <c r="O56" i="6" a="1"/>
  <c r="O56" i="6" s="1"/>
  <c r="O57" i="6" a="1"/>
  <c r="O57" i="6" s="1"/>
  <c r="O58" i="6" a="1"/>
  <c r="O58" i="6" s="1"/>
  <c r="O59" i="6" a="1"/>
  <c r="O59" i="6" s="1"/>
  <c r="O60" i="6" a="1"/>
  <c r="O60" i="6" s="1"/>
  <c r="O61" i="6" a="1"/>
  <c r="O61" i="6" s="1"/>
  <c r="O62" i="6" a="1"/>
  <c r="O62" i="6" s="1"/>
  <c r="O63" i="6" a="1"/>
  <c r="O63" i="6"/>
  <c r="O64" i="6" a="1"/>
  <c r="O64" i="6"/>
  <c r="O65" i="6" a="1"/>
  <c r="O65" i="6"/>
  <c r="O66" i="6" a="1"/>
  <c r="O66" i="6" s="1"/>
  <c r="O67" i="6" a="1"/>
  <c r="O67" i="6" s="1"/>
  <c r="O68" i="6" a="1"/>
  <c r="O68" i="6" s="1"/>
  <c r="O69" i="6" a="1"/>
  <c r="O69" i="6" s="1"/>
  <c r="O70" i="6" a="1"/>
  <c r="O70" i="6" s="1"/>
  <c r="O71" i="6" a="1"/>
  <c r="O71" i="6" s="1"/>
  <c r="O72" i="6" a="1"/>
  <c r="O72" i="6" s="1"/>
  <c r="O73" i="6" a="1"/>
  <c r="O73" i="6"/>
  <c r="O74" i="6" a="1"/>
  <c r="O74" i="6" s="1"/>
  <c r="O75" i="6" a="1"/>
  <c r="O75" i="6"/>
  <c r="O76" i="6" a="1"/>
  <c r="O76" i="6" s="1"/>
  <c r="O77" i="6" a="1"/>
  <c r="O77" i="6" s="1"/>
  <c r="O78" i="6" a="1"/>
  <c r="O78" i="6" s="1"/>
  <c r="O79" i="6" a="1"/>
  <c r="O79" i="6" s="1"/>
  <c r="O80" i="6" a="1"/>
  <c r="O80" i="6" s="1"/>
  <c r="O81" i="6" a="1"/>
  <c r="O81" i="6"/>
  <c r="O82" i="6" a="1"/>
  <c r="O82" i="6" s="1"/>
  <c r="O83" i="6" a="1"/>
  <c r="O83" i="6" s="1"/>
  <c r="O84" i="6" a="1"/>
  <c r="O84" i="6" s="1"/>
  <c r="O85" i="6" a="1"/>
  <c r="O85" i="6" s="1"/>
  <c r="O86" i="6" a="1"/>
  <c r="O86" i="6" s="1"/>
  <c r="O87" i="6" a="1"/>
  <c r="O87" i="6" s="1"/>
  <c r="O88" i="6" a="1"/>
  <c r="O88" i="6" s="1"/>
  <c r="O89" i="6" a="1"/>
  <c r="O89" i="6" s="1"/>
  <c r="O90" i="6" a="1"/>
  <c r="O90" i="6" s="1"/>
  <c r="O91" i="6" a="1"/>
  <c r="O91" i="6"/>
  <c r="O92" i="6" a="1"/>
  <c r="O92" i="6" s="1"/>
  <c r="O93" i="6" a="1"/>
  <c r="O93" i="6" s="1"/>
  <c r="O94" i="6" a="1"/>
  <c r="O94" i="6" s="1"/>
  <c r="O95" i="6" a="1"/>
  <c r="O95" i="6" s="1"/>
  <c r="O96" i="6" a="1"/>
  <c r="O96" i="6" s="1"/>
  <c r="O97" i="6" a="1"/>
  <c r="O97" i="6" s="1"/>
  <c r="O98" i="6" a="1"/>
  <c r="O98" i="6" s="1"/>
  <c r="O99" i="6" a="1"/>
  <c r="O99" i="6"/>
  <c r="O100" i="6" a="1"/>
  <c r="O100" i="6" s="1"/>
  <c r="O101" i="6" a="1"/>
  <c r="O101" i="6" s="1"/>
  <c r="O102" i="6" a="1"/>
  <c r="O102" i="6" s="1"/>
  <c r="O103" i="6" a="1"/>
  <c r="O103" i="6" s="1"/>
  <c r="O104" i="6" a="1"/>
  <c r="O104" i="6" s="1"/>
  <c r="O105" i="6" a="1"/>
  <c r="O105" i="6" s="1"/>
  <c r="O106" i="6" a="1"/>
  <c r="O106" i="6" s="1"/>
  <c r="O107" i="6" a="1"/>
  <c r="O107" i="6" s="1"/>
  <c r="O108" i="6" a="1"/>
  <c r="O108" i="6" s="1"/>
  <c r="O109" i="6" a="1"/>
  <c r="O109" i="6" s="1"/>
  <c r="O110" i="6" a="1"/>
  <c r="O110" i="6" s="1"/>
  <c r="O111" i="6" a="1"/>
  <c r="O111" i="6"/>
  <c r="O112" i="6" a="1"/>
  <c r="O112" i="6" s="1"/>
  <c r="O113" i="6" a="1"/>
  <c r="O113" i="6" s="1"/>
  <c r="O114" i="6" a="1"/>
  <c r="O114" i="6" s="1"/>
  <c r="O115" i="6" a="1"/>
  <c r="O115" i="6"/>
  <c r="O116" i="6" a="1"/>
  <c r="O116" i="6"/>
  <c r="O117" i="6" a="1"/>
  <c r="O117" i="6" s="1"/>
  <c r="O118" i="6" a="1"/>
  <c r="O118" i="6" s="1"/>
  <c r="O119" i="6" a="1"/>
  <c r="O119" i="6"/>
  <c r="O120" i="6" a="1"/>
  <c r="O120" i="6" s="1"/>
  <c r="O121" i="6" a="1"/>
  <c r="O121" i="6" s="1"/>
  <c r="O122" i="6" a="1"/>
  <c r="O122" i="6" s="1"/>
  <c r="O123" i="6" a="1"/>
  <c r="O123" i="6" s="1"/>
  <c r="O124" i="6" a="1"/>
  <c r="O124" i="6"/>
  <c r="O125" i="6" a="1"/>
  <c r="O125" i="6" s="1"/>
  <c r="O126" i="6" a="1"/>
  <c r="O126" i="6"/>
  <c r="O127" i="6" a="1"/>
  <c r="O127" i="6"/>
  <c r="O128" i="6" a="1"/>
  <c r="O128" i="6" s="1"/>
  <c r="O129" i="6" a="1"/>
  <c r="O129" i="6"/>
  <c r="O130" i="6" a="1"/>
  <c r="O130" i="6" s="1"/>
  <c r="O131" i="6" a="1"/>
  <c r="O131" i="6" s="1"/>
  <c r="O132" i="6" a="1"/>
  <c r="O132" i="6" s="1"/>
  <c r="O133" i="6" a="1"/>
  <c r="O133" i="6" s="1"/>
  <c r="O134" i="6" a="1"/>
  <c r="O134" i="6" s="1"/>
  <c r="O135" i="6" a="1"/>
  <c r="O135" i="6"/>
  <c r="O136" i="6" a="1"/>
  <c r="O136" i="6"/>
  <c r="O137" i="6" a="1"/>
  <c r="O137" i="6"/>
  <c r="O138" i="6" a="1"/>
  <c r="O138" i="6" s="1"/>
  <c r="O139" i="6" a="1"/>
  <c r="O139" i="6" s="1"/>
  <c r="O140" i="6" a="1"/>
  <c r="O140" i="6"/>
  <c r="O141" i="6" a="1"/>
  <c r="O141" i="6" s="1"/>
  <c r="O142" i="6" a="1"/>
  <c r="O142" i="6" s="1"/>
  <c r="O143" i="6" a="1"/>
  <c r="O143" i="6" s="1"/>
  <c r="O144" i="6" a="1"/>
  <c r="O144" i="6" s="1"/>
  <c r="O145" i="6" a="1"/>
  <c r="O145" i="6"/>
  <c r="O146" i="6" a="1"/>
  <c r="O146" i="6" s="1"/>
  <c r="O147" i="6" a="1"/>
  <c r="O147" i="6"/>
  <c r="O148" i="6" a="1"/>
  <c r="O148" i="6" s="1"/>
  <c r="O149" i="6" a="1"/>
  <c r="O149" i="6" s="1"/>
  <c r="O150" i="6" a="1"/>
  <c r="O150" i="6" s="1"/>
  <c r="O151" i="6" a="1"/>
  <c r="O151" i="6" s="1"/>
  <c r="O152" i="6" a="1"/>
  <c r="O152" i="6" s="1"/>
  <c r="O153" i="6" a="1"/>
  <c r="O153" i="6" s="1"/>
  <c r="O154" i="6" a="1"/>
  <c r="O154" i="6" s="1"/>
  <c r="O155" i="6" a="1"/>
  <c r="O155" i="6" s="1"/>
  <c r="O156" i="6" a="1"/>
  <c r="O156" i="6" s="1"/>
  <c r="O157" i="6" a="1"/>
  <c r="O157" i="6" s="1"/>
  <c r="O158" i="6" a="1"/>
  <c r="O158" i="6" s="1"/>
  <c r="O159" i="6" a="1"/>
  <c r="O159" i="6" s="1"/>
  <c r="O160" i="6" a="1"/>
  <c r="O160" i="6" s="1"/>
  <c r="O161" i="6" a="1"/>
  <c r="O161" i="6" s="1"/>
  <c r="O162" i="6" a="1"/>
  <c r="O162" i="6" s="1"/>
  <c r="O163" i="6" a="1"/>
  <c r="O163" i="6"/>
  <c r="O164" i="6" a="1"/>
  <c r="O164" i="6" s="1"/>
  <c r="O165" i="6" a="1"/>
  <c r="O165" i="6" s="1"/>
  <c r="O166" i="6" a="1"/>
  <c r="O166" i="6" s="1"/>
  <c r="O167" i="6" a="1"/>
  <c r="O167" i="6" s="1"/>
  <c r="O168" i="6" a="1"/>
  <c r="O168" i="6" s="1"/>
  <c r="O169" i="6" a="1"/>
  <c r="O169" i="6" s="1"/>
  <c r="O170" i="6" a="1"/>
  <c r="O170" i="6" s="1"/>
  <c r="O171" i="6" a="1"/>
  <c r="O171" i="6"/>
  <c r="O172" i="6" a="1"/>
  <c r="O172" i="6"/>
  <c r="O173" i="6" a="1"/>
  <c r="O173" i="6" s="1"/>
  <c r="O174" i="6" a="1"/>
  <c r="O174" i="6"/>
  <c r="O175" i="6" a="1"/>
  <c r="O175" i="6" s="1"/>
  <c r="O176" i="6" a="1"/>
  <c r="O176" i="6" s="1"/>
  <c r="O177" i="6" a="1"/>
  <c r="O177" i="6" s="1"/>
  <c r="O178" i="6" a="1"/>
  <c r="O178" i="6" s="1"/>
  <c r="O179" i="6" a="1"/>
  <c r="O179" i="6" s="1"/>
  <c r="O180" i="6" a="1"/>
  <c r="O180" i="6" s="1"/>
  <c r="O181" i="6" a="1"/>
  <c r="O181" i="6" s="1"/>
  <c r="O182" i="6" a="1"/>
  <c r="O182" i="6" s="1"/>
  <c r="O183" i="6" a="1"/>
  <c r="O183" i="6"/>
  <c r="O184" i="6" a="1"/>
  <c r="O184" i="6"/>
  <c r="O185" i="6" a="1"/>
  <c r="O185" i="6" s="1"/>
  <c r="O186" i="6" a="1"/>
  <c r="O186" i="6" s="1"/>
  <c r="O187" i="6" a="1"/>
  <c r="O187" i="6"/>
  <c r="O188" i="6" a="1"/>
  <c r="O188" i="6" s="1"/>
  <c r="O189" i="6" a="1"/>
  <c r="O189" i="6" s="1"/>
  <c r="O190" i="6" a="1"/>
  <c r="O190" i="6" s="1"/>
  <c r="O191" i="6" a="1"/>
  <c r="O191" i="6" s="1"/>
  <c r="O192" i="6" a="1"/>
  <c r="O192" i="6"/>
  <c r="O193" i="6" a="1"/>
  <c r="O193" i="6" s="1"/>
  <c r="O194" i="6" a="1"/>
  <c r="O194" i="6" s="1"/>
  <c r="O195" i="6" a="1"/>
  <c r="O195" i="6"/>
  <c r="O196" i="6" a="1"/>
  <c r="O196" i="6"/>
  <c r="O197" i="6" a="1"/>
  <c r="O197" i="6" s="1"/>
  <c r="O198" i="6" a="1"/>
  <c r="O198" i="6" s="1"/>
  <c r="O199" i="6" a="1"/>
  <c r="O199" i="6"/>
  <c r="O200" i="6" a="1"/>
  <c r="O200" i="6" s="1"/>
  <c r="O201" i="6" a="1"/>
  <c r="O201" i="6" s="1"/>
  <c r="O202" i="6" a="1"/>
  <c r="O202" i="6" s="1"/>
  <c r="O203" i="6" a="1"/>
  <c r="O203" i="6" s="1"/>
  <c r="O204" i="6" a="1"/>
  <c r="O204" i="6" s="1"/>
  <c r="O205" i="6" a="1"/>
  <c r="O205" i="6" s="1"/>
  <c r="O206" i="6" a="1"/>
  <c r="O206" i="6" s="1"/>
  <c r="O207" i="6" a="1"/>
  <c r="O207" i="6" s="1"/>
  <c r="O208" i="6" a="1"/>
  <c r="O208" i="6"/>
  <c r="O209" i="6" a="1"/>
  <c r="O209" i="6" s="1"/>
  <c r="O210" i="6" a="1"/>
  <c r="O210" i="6" s="1"/>
  <c r="O211" i="6" a="1"/>
  <c r="O211" i="6"/>
  <c r="O212" i="6" a="1"/>
  <c r="O212" i="6" s="1"/>
  <c r="O213" i="6" a="1"/>
  <c r="O213" i="6" s="1"/>
  <c r="O214" i="6" a="1"/>
  <c r="O214" i="6" s="1"/>
  <c r="O215" i="6" a="1"/>
  <c r="O215" i="6" s="1"/>
  <c r="O216" i="6" a="1"/>
  <c r="O216" i="6" s="1"/>
  <c r="O217" i="6" a="1"/>
  <c r="O217" i="6" s="1"/>
  <c r="O218" i="6" a="1"/>
  <c r="O218" i="6" s="1"/>
  <c r="O219" i="6" a="1"/>
  <c r="O219" i="6" s="1"/>
  <c r="O220" i="6" a="1"/>
  <c r="O220" i="6" s="1"/>
  <c r="O221" i="6" a="1"/>
  <c r="O221" i="6" s="1"/>
  <c r="O222" i="6" a="1"/>
  <c r="O222" i="6" s="1"/>
  <c r="O223" i="6" a="1"/>
  <c r="O223" i="6" s="1"/>
  <c r="O224" i="6" a="1"/>
  <c r="O224" i="6" s="1"/>
  <c r="O225" i="6" a="1"/>
  <c r="O225" i="6" s="1"/>
  <c r="O226" i="6" a="1"/>
  <c r="O226" i="6" s="1"/>
  <c r="O227" i="6" a="1"/>
  <c r="O227" i="6"/>
  <c r="O228" i="6" a="1"/>
  <c r="O228" i="6" s="1"/>
  <c r="O229" i="6" a="1"/>
  <c r="O229" i="6" s="1"/>
  <c r="O230" i="6" a="1"/>
  <c r="O230" i="6"/>
  <c r="O231" i="6" a="1"/>
  <c r="O231" i="6" s="1"/>
  <c r="O232" i="6" a="1"/>
  <c r="O232" i="6" s="1"/>
  <c r="O233" i="6" a="1"/>
  <c r="O233" i="6" s="1"/>
  <c r="O234" i="6" a="1"/>
  <c r="O234" i="6" s="1"/>
  <c r="O235" i="6" a="1"/>
  <c r="O235" i="6"/>
  <c r="O236" i="6" a="1"/>
  <c r="O236" i="6"/>
  <c r="O237" i="6" a="1"/>
  <c r="O237" i="6" s="1"/>
  <c r="O238" i="6" a="1"/>
  <c r="O238" i="6"/>
  <c r="O239" i="6" a="1"/>
  <c r="O239" i="6" s="1"/>
  <c r="O240" i="6" a="1"/>
  <c r="O240" i="6" s="1"/>
  <c r="O241" i="6" a="1"/>
  <c r="O241" i="6" s="1"/>
  <c r="O242" i="6" a="1"/>
  <c r="O242" i="6" s="1"/>
  <c r="O243" i="6" a="1"/>
  <c r="O243" i="6" s="1"/>
  <c r="O244" i="6" a="1"/>
  <c r="O244" i="6"/>
  <c r="O245" i="6" a="1"/>
  <c r="O245" i="6" s="1"/>
  <c r="O246" i="6" a="1"/>
  <c r="O246" i="6"/>
  <c r="O247" i="6" a="1"/>
  <c r="O247" i="6"/>
  <c r="O248" i="6" a="1"/>
  <c r="O248" i="6"/>
  <c r="O249" i="6" a="1"/>
  <c r="O249" i="6" s="1"/>
  <c r="O250" i="6" a="1"/>
  <c r="O250" i="6" s="1"/>
  <c r="O251" i="6" a="1"/>
  <c r="O251" i="6" s="1"/>
  <c r="O252" i="6" a="1"/>
  <c r="O252" i="6" s="1"/>
  <c r="O253" i="6" a="1"/>
  <c r="O253" i="6" s="1"/>
  <c r="O254" i="6" a="1"/>
  <c r="O254" i="6" s="1"/>
  <c r="O255" i="6" a="1"/>
  <c r="O255" i="6"/>
  <c r="O256" i="6" a="1"/>
  <c r="O256" i="6"/>
  <c r="O257" i="6" a="1"/>
  <c r="O257" i="6" s="1"/>
  <c r="O258" i="6" a="1"/>
  <c r="O258" i="6" s="1"/>
  <c r="O259" i="6" a="1"/>
  <c r="O259" i="6"/>
  <c r="O260" i="6" a="1"/>
  <c r="O260" i="6" s="1"/>
  <c r="O261" i="6" a="1"/>
  <c r="O261" i="6" s="1"/>
  <c r="O262" i="6" a="1"/>
  <c r="O262" i="6" s="1"/>
  <c r="O263" i="6" a="1"/>
  <c r="O263" i="6" s="1"/>
  <c r="O264" i="6" a="1"/>
  <c r="O264" i="6" s="1"/>
  <c r="O265" i="6" a="1"/>
  <c r="O265" i="6" s="1"/>
  <c r="O266" i="6" a="1"/>
  <c r="O266" i="6" s="1"/>
  <c r="O267" i="6" a="1"/>
  <c r="O267" i="6" s="1"/>
  <c r="O268" i="6" a="1"/>
  <c r="O268" i="6"/>
  <c r="O269" i="6" a="1"/>
  <c r="O269" i="6" s="1"/>
  <c r="O270" i="6" a="1"/>
  <c r="O270" i="6" s="1"/>
  <c r="O271" i="6" a="1"/>
  <c r="O271" i="6" s="1"/>
  <c r="O272" i="6" a="1"/>
  <c r="O272" i="6"/>
  <c r="O273" i="6" a="1"/>
  <c r="O273" i="6" s="1"/>
  <c r="O274" i="6" a="1"/>
  <c r="O274" i="6" s="1"/>
  <c r="O275" i="6" a="1"/>
  <c r="O275" i="6" s="1"/>
  <c r="O276" i="6" a="1"/>
  <c r="O276" i="6" s="1"/>
  <c r="O277" i="6" a="1"/>
  <c r="O277" i="6" s="1"/>
  <c r="O278" i="6" a="1"/>
  <c r="O278" i="6" s="1"/>
  <c r="O279" i="6" a="1"/>
  <c r="O279" i="6" s="1"/>
  <c r="O280" i="6" a="1"/>
  <c r="O280" i="6" s="1"/>
  <c r="O281" i="6" a="1"/>
  <c r="O281" i="6"/>
  <c r="O282" i="6" a="1"/>
  <c r="O282" i="6" s="1"/>
  <c r="O283" i="6" a="1"/>
  <c r="O283" i="6"/>
  <c r="O284" i="6" a="1"/>
  <c r="O284" i="6"/>
  <c r="O285" i="6" a="1"/>
  <c r="O285" i="6" s="1"/>
  <c r="O286" i="6" a="1"/>
  <c r="O286" i="6" s="1"/>
  <c r="O287" i="6" a="1"/>
  <c r="O287" i="6" s="1"/>
  <c r="O288" i="6" a="1"/>
  <c r="O288" i="6" s="1"/>
  <c r="O289" i="6" a="1"/>
  <c r="O289" i="6" s="1"/>
  <c r="O290" i="6" a="1"/>
  <c r="O290" i="6" s="1"/>
  <c r="O291" i="6" a="1"/>
  <c r="O291" i="6" s="1"/>
  <c r="O292" i="6" a="1"/>
  <c r="O292" i="6"/>
  <c r="O293" i="6" a="1"/>
  <c r="O293" i="6" s="1"/>
  <c r="O294" i="6" a="1"/>
  <c r="O294" i="6"/>
  <c r="O295" i="6" a="1"/>
  <c r="O295" i="6" s="1"/>
  <c r="O296" i="6" a="1"/>
  <c r="O296" i="6" s="1"/>
  <c r="O297" i="6" a="1"/>
  <c r="O297" i="6" s="1"/>
  <c r="O298" i="6" a="1"/>
  <c r="O298" i="6" s="1"/>
  <c r="O299" i="6" a="1"/>
  <c r="O299" i="6" s="1"/>
  <c r="O300" i="6" a="1"/>
  <c r="O300" i="6" s="1"/>
  <c r="O301" i="6" a="1"/>
  <c r="O301" i="6" s="1"/>
  <c r="O302" i="6" a="1"/>
  <c r="O302" i="6"/>
  <c r="O303" i="6" a="1"/>
  <c r="O303" i="6" s="1"/>
  <c r="O304" i="6" a="1"/>
  <c r="O304" i="6" s="1"/>
  <c r="O305" i="6" a="1"/>
  <c r="O305" i="6" s="1"/>
  <c r="O306" i="6" a="1"/>
  <c r="O306" i="6" s="1"/>
  <c r="O307" i="6" a="1"/>
  <c r="O307" i="6"/>
  <c r="O308" i="6" a="1"/>
  <c r="O308" i="6"/>
  <c r="O309" i="6" a="1"/>
  <c r="O309" i="6" s="1"/>
  <c r="O310" i="6" a="1"/>
  <c r="O310" i="6" s="1"/>
  <c r="O311" i="6" a="1"/>
  <c r="O311" i="6" s="1"/>
  <c r="O312" i="6" a="1"/>
  <c r="O312" i="6" s="1"/>
  <c r="O313" i="6" a="1"/>
  <c r="O313" i="6" s="1"/>
  <c r="O314" i="6" a="1"/>
  <c r="O314" i="6" s="1"/>
  <c r="O315" i="6" a="1"/>
  <c r="O315" i="6" s="1"/>
  <c r="O316" i="6" a="1"/>
  <c r="O316" i="6"/>
  <c r="O317" i="6" a="1"/>
  <c r="O317" i="6" s="1"/>
  <c r="O318" i="6" a="1"/>
  <c r="O318" i="6"/>
  <c r="O319" i="6" a="1"/>
  <c r="O319" i="6"/>
  <c r="O320" i="6" a="1"/>
  <c r="O320" i="6" s="1"/>
  <c r="O321" i="6" a="1"/>
  <c r="O321" i="6" s="1"/>
  <c r="O322" i="6" a="1"/>
  <c r="O322" i="6" s="1"/>
  <c r="O323" i="6" a="1"/>
  <c r="O323" i="6" s="1"/>
  <c r="O324" i="6" a="1"/>
  <c r="O324" i="6"/>
  <c r="O325" i="6" a="1"/>
  <c r="O325" i="6" s="1"/>
  <c r="O326" i="6" a="1"/>
  <c r="O326" i="6" s="1"/>
  <c r="O327" i="6" a="1"/>
  <c r="O327" i="6"/>
  <c r="O328" i="6" a="1"/>
  <c r="O328" i="6" s="1"/>
  <c r="O329" i="6" a="1"/>
  <c r="O329" i="6" s="1"/>
  <c r="O330" i="6" a="1"/>
  <c r="O330" i="6" s="1"/>
  <c r="O331" i="6" a="1"/>
  <c r="O331" i="6" s="1"/>
  <c r="O332" i="6" a="1"/>
  <c r="O332" i="6"/>
  <c r="O333" i="6" a="1"/>
  <c r="O333" i="6" s="1"/>
  <c r="O334" i="6" a="1"/>
  <c r="O334" i="6" s="1"/>
  <c r="O335" i="6" a="1"/>
  <c r="O335" i="6" s="1"/>
  <c r="O336" i="6" a="1"/>
  <c r="O336" i="6"/>
  <c r="O337" i="6" a="1"/>
  <c r="O337" i="6" s="1"/>
  <c r="O338" i="6" a="1"/>
  <c r="O338" i="6" s="1"/>
  <c r="O339" i="6" a="1"/>
  <c r="O339" i="6" s="1"/>
  <c r="O340" i="6" a="1"/>
  <c r="O340" i="6" s="1"/>
  <c r="O341" i="6" a="1"/>
  <c r="O341" i="6" s="1"/>
  <c r="O342" i="6" a="1"/>
  <c r="O342" i="6" s="1"/>
  <c r="O343" i="6" a="1"/>
  <c r="O343" i="6" s="1"/>
  <c r="O344" i="6" a="1"/>
  <c r="O344" i="6" s="1"/>
  <c r="O345" i="6" a="1"/>
  <c r="O345" i="6" s="1"/>
  <c r="O346" i="6" a="1"/>
  <c r="O346" i="6" s="1"/>
  <c r="O347" i="6" a="1"/>
  <c r="O347" i="6"/>
  <c r="O348" i="6" a="1"/>
  <c r="O348" i="6" s="1"/>
  <c r="O349" i="6" a="1"/>
  <c r="O349" i="6" s="1"/>
  <c r="O350" i="6" a="1"/>
  <c r="O350" i="6" s="1"/>
  <c r="O351" i="6" a="1"/>
  <c r="O351" i="6" s="1"/>
  <c r="O352" i="6" a="1"/>
  <c r="O352" i="6" s="1"/>
  <c r="O353" i="6" a="1"/>
  <c r="O353" i="6" s="1"/>
  <c r="O354" i="6" a="1"/>
  <c r="O354" i="6" s="1"/>
  <c r="O355" i="6" a="1"/>
  <c r="O355" i="6"/>
  <c r="O356" i="6" a="1"/>
  <c r="O356" i="6"/>
  <c r="O357" i="6" a="1"/>
  <c r="O357" i="6" s="1"/>
  <c r="O358" i="6" a="1"/>
  <c r="O358" i="6" s="1"/>
  <c r="O359" i="6" a="1"/>
  <c r="O359" i="6" s="1"/>
  <c r="O360" i="6" a="1"/>
  <c r="O360" i="6" s="1"/>
  <c r="O361" i="6" a="1"/>
  <c r="O361" i="6" s="1"/>
  <c r="O362" i="6" a="1"/>
  <c r="O362" i="6" s="1"/>
  <c r="O363" i="6" a="1"/>
  <c r="O363" i="6"/>
  <c r="O364" i="6" a="1"/>
  <c r="O364" i="6"/>
  <c r="O365" i="6" a="1"/>
  <c r="O365" i="6" s="1"/>
  <c r="O366" i="6" a="1"/>
  <c r="O366" i="6"/>
  <c r="O367" i="6" a="1"/>
  <c r="O367" i="6"/>
  <c r="O368" i="6" a="1"/>
  <c r="O368" i="6" s="1"/>
  <c r="O369" i="6" a="1"/>
  <c r="O369" i="6" s="1"/>
  <c r="O370" i="6" a="1"/>
  <c r="O370" i="6" s="1"/>
  <c r="O371" i="6" a="1"/>
  <c r="O371" i="6"/>
  <c r="O372" i="6" a="1"/>
  <c r="O372" i="6" s="1"/>
  <c r="O373" i="6" a="1"/>
  <c r="O373" i="6" s="1"/>
  <c r="O374" i="6" a="1"/>
  <c r="O374" i="6" s="1"/>
  <c r="O375" i="6" a="1"/>
  <c r="O375" i="6" s="1"/>
  <c r="O376" i="6" a="1"/>
  <c r="O376" i="6" s="1"/>
  <c r="O377" i="6" a="1"/>
  <c r="O377" i="6" s="1"/>
  <c r="O378" i="6" a="1"/>
  <c r="O378" i="6" s="1"/>
  <c r="O379" i="6" a="1"/>
  <c r="O379" i="6"/>
  <c r="O380" i="6" a="1"/>
  <c r="O380" i="6" s="1"/>
  <c r="O381" i="6" a="1"/>
  <c r="O381" i="6" s="1"/>
  <c r="O382" i="6" a="1"/>
  <c r="O382" i="6"/>
  <c r="O383" i="6" a="1"/>
  <c r="O383" i="6"/>
  <c r="O384" i="6" a="1"/>
  <c r="O384" i="6" s="1"/>
  <c r="O385" i="6" a="1"/>
  <c r="O385" i="6"/>
  <c r="O386" i="6" a="1"/>
  <c r="O386" i="6" s="1"/>
  <c r="O387" i="6" a="1"/>
  <c r="O387" i="6" s="1"/>
  <c r="O388" i="6" a="1"/>
  <c r="O388" i="6"/>
  <c r="O389" i="6" a="1"/>
  <c r="O389" i="6" s="1"/>
  <c r="O390" i="6" a="1"/>
  <c r="O390" i="6" s="1"/>
  <c r="O391" i="6" a="1"/>
  <c r="O391" i="6"/>
  <c r="O392" i="6" a="1"/>
  <c r="O392" i="6"/>
  <c r="O393" i="6" a="1"/>
  <c r="O393" i="6" s="1"/>
  <c r="O394" i="6" a="1"/>
  <c r="O394" i="6" s="1"/>
  <c r="O395" i="6" a="1"/>
  <c r="O395" i="6" s="1"/>
  <c r="O396" i="6" a="1"/>
  <c r="O396" i="6"/>
  <c r="O397" i="6" a="1"/>
  <c r="O397" i="6" s="1"/>
  <c r="O398" i="6" a="1"/>
  <c r="O398" i="6" s="1"/>
  <c r="O399" i="6" a="1"/>
  <c r="O399" i="6" s="1"/>
  <c r="O400" i="6" a="1"/>
  <c r="O400" i="6"/>
  <c r="O401" i="6" a="1"/>
  <c r="O401" i="6" s="1"/>
  <c r="O402" i="6" a="1"/>
  <c r="O402" i="6" s="1"/>
  <c r="O403" i="6" a="1"/>
  <c r="O403" i="6"/>
  <c r="O404" i="6" a="1"/>
  <c r="O404" i="6" s="1"/>
  <c r="O405" i="6" a="1"/>
  <c r="O405" i="6" s="1"/>
  <c r="O406" i="6" a="1"/>
  <c r="O406" i="6" s="1"/>
  <c r="O407" i="6" a="1"/>
  <c r="O407" i="6" s="1"/>
  <c r="O408" i="6" a="1"/>
  <c r="O408" i="6" s="1"/>
  <c r="O409" i="6" a="1"/>
  <c r="O409" i="6"/>
  <c r="O410" i="6" a="1"/>
  <c r="O410" i="6" s="1"/>
  <c r="O411" i="6" a="1"/>
  <c r="O411" i="6" s="1"/>
  <c r="O412" i="6" a="1"/>
  <c r="O412" i="6"/>
  <c r="O413" i="6" a="1"/>
  <c r="O413" i="6" s="1"/>
  <c r="O414" i="6" a="1"/>
  <c r="O414" i="6" s="1"/>
  <c r="O415" i="6" a="1"/>
  <c r="O415" i="6" s="1"/>
  <c r="O416" i="6" a="1"/>
  <c r="O416" i="6" s="1"/>
  <c r="O417" i="6" a="1"/>
  <c r="O417" i="6" s="1"/>
  <c r="O418" i="6" a="1"/>
  <c r="O418" i="6" s="1"/>
  <c r="O419" i="6" a="1"/>
  <c r="O419" i="6" s="1"/>
  <c r="O420" i="6" a="1"/>
  <c r="O420" i="6" s="1"/>
  <c r="O421" i="6" a="1"/>
  <c r="O421" i="6" s="1"/>
  <c r="O422" i="6" a="1"/>
  <c r="O422" i="6"/>
  <c r="O423" i="6" a="1"/>
  <c r="O423" i="6" s="1"/>
  <c r="O424" i="6" a="1"/>
  <c r="O424" i="6" s="1"/>
  <c r="O425" i="6" a="1"/>
  <c r="O425" i="6" s="1"/>
  <c r="O426" i="6" a="1"/>
  <c r="O426" i="6" s="1"/>
  <c r="O427" i="6" a="1"/>
  <c r="O427" i="6" s="1"/>
  <c r="O428" i="6" a="1"/>
  <c r="O428" i="6" s="1"/>
  <c r="O429" i="6" a="1"/>
  <c r="O429" i="6" s="1"/>
  <c r="O430" i="6" a="1"/>
  <c r="O430" i="6" s="1"/>
  <c r="O431" i="6" a="1"/>
  <c r="O431" i="6"/>
  <c r="O432" i="6" a="1"/>
  <c r="O432" i="6" s="1"/>
  <c r="O433" i="6" a="1"/>
  <c r="O433" i="6" s="1"/>
  <c r="O434" i="6" a="1"/>
  <c r="O434" i="6" s="1"/>
  <c r="O435" i="6" a="1"/>
  <c r="O435" i="6"/>
  <c r="O436" i="6" a="1"/>
  <c r="O436" i="6" s="1"/>
  <c r="O437" i="6" a="1"/>
  <c r="O437" i="6" s="1"/>
  <c r="O438" i="6" a="1"/>
  <c r="O438" i="6" s="1"/>
  <c r="O439" i="6" a="1"/>
  <c r="O439" i="6" s="1"/>
  <c r="O440" i="6" a="1"/>
  <c r="O440" i="6" s="1"/>
  <c r="O441" i="6" a="1"/>
  <c r="O441" i="6" s="1"/>
  <c r="O442" i="6" a="1"/>
  <c r="O442" i="6" s="1"/>
  <c r="O443" i="6" a="1"/>
  <c r="O443" i="6"/>
  <c r="O444" i="6" a="1"/>
  <c r="O444" i="6"/>
  <c r="O445" i="6" a="1"/>
  <c r="O445" i="6" s="1"/>
  <c r="O446" i="6" a="1"/>
  <c r="O446" i="6"/>
  <c r="O447" i="6" a="1"/>
  <c r="O447" i="6"/>
  <c r="O448" i="6" a="1"/>
  <c r="O448" i="6" s="1"/>
  <c r="O449" i="6" a="1"/>
  <c r="O449" i="6"/>
  <c r="O450" i="6" a="1"/>
  <c r="O450" i="6" s="1"/>
  <c r="O451" i="6" a="1"/>
  <c r="O451" i="6"/>
  <c r="O452" i="6" a="1"/>
  <c r="O452" i="6"/>
  <c r="O453" i="6" a="1"/>
  <c r="O453" i="6" s="1"/>
  <c r="O454" i="6" a="1"/>
  <c r="O454" i="6" s="1"/>
  <c r="O455" i="6" a="1"/>
  <c r="O455" i="6" s="1"/>
  <c r="O456" i="6" a="1"/>
  <c r="O456" i="6"/>
  <c r="O457" i="6" a="1"/>
  <c r="O457" i="6" s="1"/>
  <c r="O458" i="6" a="1"/>
  <c r="O458" i="6" s="1"/>
  <c r="O459" i="6" a="1"/>
  <c r="O459" i="6" s="1"/>
  <c r="O460" i="6" a="1"/>
  <c r="O460" i="6" s="1"/>
  <c r="O461" i="6" a="1"/>
  <c r="O461" i="6" s="1"/>
  <c r="O462" i="6" a="1"/>
  <c r="O462" i="6" s="1"/>
  <c r="O463" i="6" a="1"/>
  <c r="O463" i="6" s="1"/>
  <c r="O464" i="6" a="1"/>
  <c r="O464" i="6"/>
  <c r="O465" i="6" a="1"/>
  <c r="O465" i="6"/>
  <c r="O466" i="6" a="1"/>
  <c r="O466" i="6" s="1"/>
  <c r="O467" i="6" a="1"/>
  <c r="O467" i="6"/>
  <c r="O468" i="6" a="1"/>
  <c r="O468" i="6" s="1"/>
  <c r="O469" i="6" a="1"/>
  <c r="O469" i="6" s="1"/>
  <c r="O470" i="6" a="1"/>
  <c r="O470" i="6" s="1"/>
  <c r="O471" i="6" a="1"/>
  <c r="O471" i="6" s="1"/>
  <c r="O472" i="6" a="1"/>
  <c r="O472" i="6" s="1"/>
  <c r="O473" i="6" a="1"/>
  <c r="O473" i="6"/>
  <c r="O474" i="6" a="1"/>
  <c r="O474" i="6" s="1"/>
  <c r="O475" i="6" a="1"/>
  <c r="O475" i="6" s="1"/>
  <c r="O476" i="6" a="1"/>
  <c r="O476" i="6"/>
  <c r="O477" i="6" a="1"/>
  <c r="O477" i="6" s="1"/>
  <c r="O478" i="6" a="1"/>
  <c r="O478" i="6" s="1"/>
  <c r="O479" i="6" a="1"/>
  <c r="O479" i="6" s="1"/>
  <c r="O480" i="6" a="1"/>
  <c r="O480" i="6" s="1"/>
  <c r="O481" i="6" a="1"/>
  <c r="O481" i="6" s="1"/>
  <c r="O482" i="6" a="1"/>
  <c r="O482" i="6" s="1"/>
  <c r="O483" i="6" a="1"/>
  <c r="O483" i="6" s="1"/>
  <c r="O484" i="6" a="1"/>
  <c r="O484" i="6" s="1"/>
  <c r="O485" i="6" a="1"/>
  <c r="O485" i="6" s="1"/>
  <c r="O486" i="6" a="1"/>
  <c r="O486" i="6" s="1"/>
  <c r="O487" i="6" a="1"/>
  <c r="O487" i="6" s="1"/>
  <c r="O488" i="6" a="1"/>
  <c r="O488" i="6" s="1"/>
  <c r="O489" i="6" a="1"/>
  <c r="O489" i="6" s="1"/>
  <c r="O490" i="6" a="1"/>
  <c r="O490" i="6" s="1"/>
  <c r="O491" i="6" a="1"/>
  <c r="O491" i="6"/>
  <c r="O492" i="6" a="1"/>
  <c r="O492" i="6"/>
  <c r="O493" i="6" a="1"/>
  <c r="O493" i="6" s="1"/>
  <c r="O494" i="6" a="1"/>
  <c r="O494" i="6" s="1"/>
  <c r="O495" i="6" a="1"/>
  <c r="O495" i="6" s="1"/>
  <c r="O496" i="6" a="1"/>
  <c r="O496" i="6" s="1"/>
  <c r="O497" i="6" a="1"/>
  <c r="O497" i="6" s="1"/>
  <c r="O498" i="6" a="1"/>
  <c r="O498" i="6" s="1"/>
  <c r="O499" i="6" a="1"/>
  <c r="O499" i="6" s="1"/>
  <c r="O500" i="6" a="1"/>
  <c r="O500" i="6" s="1"/>
  <c r="O501" i="6" a="1"/>
  <c r="O501" i="6" s="1"/>
  <c r="O502" i="6" a="1"/>
  <c r="O502" i="6"/>
  <c r="O503" i="6" a="1"/>
  <c r="O503" i="6"/>
  <c r="O504" i="6" a="1"/>
  <c r="O504" i="6" s="1"/>
  <c r="O505" i="6" a="1"/>
  <c r="O505" i="6" s="1"/>
  <c r="O506" i="6" a="1"/>
  <c r="O506" i="6" s="1"/>
  <c r="O507" i="6" a="1"/>
  <c r="O507" i="6" s="1"/>
  <c r="O508" i="6" a="1"/>
  <c r="O508" i="6" s="1"/>
  <c r="O509" i="6" a="1"/>
  <c r="O509" i="6" s="1"/>
  <c r="O510" i="6" a="1"/>
  <c r="O510" i="6" s="1"/>
  <c r="O511" i="6" a="1"/>
  <c r="O511" i="6" s="1"/>
  <c r="O512" i="6" a="1"/>
  <c r="O512" i="6"/>
  <c r="O513" i="6" a="1"/>
  <c r="O513" i="6"/>
  <c r="O514" i="6" a="1"/>
  <c r="O514" i="6" s="1"/>
  <c r="O515" i="6" a="1"/>
  <c r="O515" i="6" s="1"/>
  <c r="O516" i="6" a="1"/>
  <c r="O516" i="6"/>
  <c r="O517" i="6" a="1"/>
  <c r="O517" i="6" s="1"/>
  <c r="O518" i="6" a="1"/>
  <c r="O518" i="6" s="1"/>
  <c r="O519" i="6" a="1"/>
  <c r="O519" i="6" s="1"/>
  <c r="O520" i="6" a="1"/>
  <c r="O520" i="6"/>
  <c r="O521" i="6" a="1"/>
  <c r="O521" i="6" s="1"/>
  <c r="O522" i="6" a="1"/>
  <c r="O522" i="6" s="1"/>
  <c r="O523" i="6" a="1"/>
  <c r="O523" i="6" s="1"/>
  <c r="O524" i="6" a="1"/>
  <c r="O524" i="6" s="1"/>
  <c r="O525" i="6" a="1"/>
  <c r="O525" i="6" s="1"/>
  <c r="O526" i="6" a="1"/>
  <c r="O526" i="6" s="1"/>
  <c r="O527" i="6" a="1"/>
  <c r="O527" i="6" s="1"/>
  <c r="O528" i="6" a="1"/>
  <c r="O528" i="6"/>
  <c r="O529" i="6" a="1"/>
  <c r="O529" i="6"/>
  <c r="O530" i="6" a="1"/>
  <c r="O530" i="6" s="1"/>
  <c r="O531" i="6" a="1"/>
  <c r="O531" i="6" s="1"/>
  <c r="O532" i="6" a="1"/>
  <c r="O532" i="6" s="1"/>
  <c r="O533" i="6" a="1"/>
  <c r="O533" i="6" s="1"/>
  <c r="O534" i="6" a="1"/>
  <c r="O534" i="6" s="1"/>
  <c r="O535" i="6" a="1"/>
  <c r="O535" i="6" s="1"/>
  <c r="O536" i="6" a="1"/>
  <c r="O536" i="6" s="1"/>
  <c r="O537" i="6" a="1"/>
  <c r="O537" i="6"/>
  <c r="O538" i="6" a="1"/>
  <c r="O538" i="6" s="1"/>
  <c r="O539" i="6" a="1"/>
  <c r="O539" i="6"/>
  <c r="O540" i="6" a="1"/>
  <c r="O540" i="6"/>
  <c r="O541" i="6" a="1"/>
  <c r="O541" i="6" s="1"/>
  <c r="O542" i="6" a="1"/>
  <c r="O542" i="6" s="1"/>
  <c r="O543" i="6" a="1"/>
  <c r="O543" i="6" s="1"/>
  <c r="O544" i="6" a="1"/>
  <c r="O544" i="6" s="1"/>
  <c r="O545" i="6" a="1"/>
  <c r="O545" i="6" s="1"/>
  <c r="O546" i="6" a="1"/>
  <c r="O546" i="6" s="1"/>
  <c r="O547" i="6" a="1"/>
  <c r="O547" i="6" s="1"/>
  <c r="O548" i="6" a="1"/>
  <c r="O548" i="6" s="1"/>
  <c r="O549" i="6" a="1"/>
  <c r="O549" i="6" s="1"/>
  <c r="O550" i="6" a="1"/>
  <c r="O550" i="6"/>
  <c r="O551" i="6" a="1"/>
  <c r="O551" i="6" s="1"/>
  <c r="O552" i="6" a="1"/>
  <c r="O552" i="6" s="1"/>
  <c r="O553" i="6" a="1"/>
  <c r="O553" i="6" s="1"/>
  <c r="O554" i="6" a="1"/>
  <c r="O554" i="6" s="1"/>
  <c r="O555" i="6" a="1"/>
  <c r="O555" i="6" s="1"/>
  <c r="O556" i="6" a="1"/>
  <c r="O556" i="6" s="1"/>
  <c r="O557" i="6" a="1"/>
  <c r="O557" i="6" s="1"/>
  <c r="O558" i="6" a="1"/>
  <c r="O558" i="6" s="1"/>
  <c r="O559" i="6" a="1"/>
  <c r="O559" i="6" s="1"/>
  <c r="O560" i="6" a="1"/>
  <c r="O560" i="6" s="1"/>
  <c r="O561" i="6" a="1"/>
  <c r="O561" i="6" s="1"/>
  <c r="O562" i="6" a="1"/>
  <c r="O562" i="6" s="1"/>
  <c r="O563" i="6" a="1"/>
  <c r="O563" i="6"/>
  <c r="O564" i="6" a="1"/>
  <c r="O564" i="6"/>
  <c r="O565" i="6" a="1"/>
  <c r="O565" i="6" s="1"/>
  <c r="O566" i="6" a="1"/>
  <c r="O566" i="6" s="1"/>
  <c r="O567" i="6" a="1"/>
  <c r="O567" i="6"/>
  <c r="O568" i="6" a="1"/>
  <c r="O568" i="6" s="1"/>
  <c r="O569" i="6" a="1"/>
  <c r="O569" i="6" s="1"/>
  <c r="O570" i="6" a="1"/>
  <c r="O570" i="6" s="1"/>
  <c r="O571" i="6" a="1"/>
  <c r="O571" i="6" s="1"/>
  <c r="O572" i="6" a="1"/>
  <c r="O572" i="6" s="1"/>
  <c r="O573" i="6" a="1"/>
  <c r="O573" i="6" s="1"/>
  <c r="O574" i="6" a="1"/>
  <c r="O574" i="6"/>
  <c r="O575" i="6" a="1"/>
  <c r="O575" i="6"/>
  <c r="O576" i="6" a="1"/>
  <c r="O576" i="6" s="1"/>
  <c r="O577" i="6" a="1"/>
  <c r="O577" i="6"/>
  <c r="O578" i="6" a="1"/>
  <c r="O578" i="6" s="1"/>
  <c r="O579" i="6" a="1"/>
  <c r="O579" i="6" s="1"/>
  <c r="O580" i="6" a="1"/>
  <c r="O580" i="6" s="1"/>
  <c r="O581" i="6" a="1"/>
  <c r="O581" i="6" s="1"/>
  <c r="O582" i="6" a="1"/>
  <c r="O582" i="6" s="1"/>
  <c r="O583" i="6" a="1"/>
  <c r="O583" i="6" s="1"/>
  <c r="O584" i="6" a="1"/>
  <c r="O584" i="6" s="1"/>
  <c r="O585" i="6" a="1"/>
  <c r="O585" i="6" s="1"/>
  <c r="O586" i="6" a="1"/>
  <c r="O586" i="6" s="1"/>
  <c r="O587" i="6" a="1"/>
  <c r="O587" i="6" s="1"/>
  <c r="O588" i="6" a="1"/>
  <c r="O588" i="6"/>
  <c r="O589" i="6" a="1"/>
  <c r="O589" i="6" s="1"/>
  <c r="O590" i="6" a="1"/>
  <c r="O590" i="6" s="1"/>
  <c r="O591" i="6" a="1"/>
  <c r="O591" i="6" s="1"/>
  <c r="O592" i="6" a="1"/>
  <c r="O592" i="6"/>
  <c r="O593" i="6" a="1"/>
  <c r="O593" i="6" s="1"/>
  <c r="O594" i="6" a="1"/>
  <c r="O594" i="6" s="1"/>
  <c r="O595" i="6" a="1"/>
  <c r="O595" i="6" s="1"/>
  <c r="O596" i="6" a="1"/>
  <c r="O596" i="6" s="1"/>
  <c r="O597" i="6" a="1"/>
  <c r="O597" i="6" s="1"/>
  <c r="O598" i="6" a="1"/>
  <c r="O598" i="6" s="1"/>
  <c r="O599" i="6" a="1"/>
  <c r="O599" i="6" s="1"/>
  <c r="O600" i="6" a="1"/>
  <c r="O600" i="6" s="1"/>
  <c r="O601" i="6" a="1"/>
  <c r="O601" i="6"/>
  <c r="O602" i="6" a="1"/>
  <c r="O602" i="6" s="1"/>
  <c r="O603" i="6" a="1"/>
  <c r="O603" i="6" s="1"/>
  <c r="O604" i="6" a="1"/>
  <c r="O604" i="6"/>
  <c r="O605" i="6" a="1"/>
  <c r="O605" i="6" s="1"/>
  <c r="O606" i="6" a="1"/>
  <c r="O606" i="6" s="1"/>
  <c r="O607" i="6" a="1"/>
  <c r="O607" i="6" s="1"/>
  <c r="O608" i="6" a="1"/>
  <c r="O608" i="6" s="1"/>
  <c r="O609" i="6" a="1"/>
  <c r="O609" i="6" s="1"/>
  <c r="O610" i="6" a="1"/>
  <c r="O610" i="6" s="1"/>
  <c r="O611" i="6" a="1"/>
  <c r="O611" i="6" s="1"/>
  <c r="O612" i="6" a="1"/>
  <c r="O612" i="6" s="1"/>
  <c r="O613" i="6" a="1"/>
  <c r="O613" i="6" s="1"/>
  <c r="O614" i="6" a="1"/>
  <c r="O614" i="6"/>
  <c r="O615" i="6" a="1"/>
  <c r="O615" i="6" s="1"/>
  <c r="O616" i="6" a="1"/>
  <c r="O616" i="6" s="1"/>
  <c r="O617" i="6" a="1"/>
  <c r="O617" i="6" s="1"/>
  <c r="O618" i="6" a="1"/>
  <c r="O618" i="6" s="1"/>
  <c r="O619" i="6" a="1"/>
  <c r="O619" i="6" s="1"/>
  <c r="O620" i="6" a="1"/>
  <c r="O620" i="6"/>
  <c r="O621" i="6" a="1"/>
  <c r="O621" i="6" s="1"/>
  <c r="O622" i="6" a="1"/>
  <c r="O622" i="6" s="1"/>
  <c r="O623" i="6" a="1"/>
  <c r="O623" i="6" s="1"/>
  <c r="O624" i="6" a="1"/>
  <c r="O624" i="6" s="1"/>
  <c r="O625" i="6" a="1"/>
  <c r="O625" i="6" s="1"/>
  <c r="O626" i="6" a="1"/>
  <c r="O626" i="6" s="1"/>
  <c r="O627" i="6" a="1"/>
  <c r="O627" i="6" s="1"/>
  <c r="O628" i="6" a="1"/>
  <c r="O628" i="6"/>
  <c r="O629" i="6" a="1"/>
  <c r="O629" i="6" s="1"/>
  <c r="O630" i="6" a="1"/>
  <c r="O630" i="6"/>
  <c r="O631" i="6" a="1"/>
  <c r="O631" i="6" s="1"/>
  <c r="O632" i="6" a="1"/>
  <c r="O632" i="6" s="1"/>
  <c r="O633" i="6" a="1"/>
  <c r="O633" i="6" s="1"/>
  <c r="O634" i="6" a="1"/>
  <c r="O634" i="6" s="1"/>
  <c r="O635" i="6" a="1"/>
  <c r="O635" i="6" s="1"/>
  <c r="O636" i="6" a="1"/>
  <c r="O636" i="6" s="1"/>
  <c r="O637" i="6" a="1"/>
  <c r="O637" i="6" s="1"/>
  <c r="O638" i="6" a="1"/>
  <c r="O638" i="6"/>
  <c r="O639" i="6" a="1"/>
  <c r="O639" i="6"/>
  <c r="O640" i="6" a="1"/>
  <c r="O640" i="6"/>
  <c r="O641" i="6" a="1"/>
  <c r="O641" i="6"/>
  <c r="O642" i="6" a="1"/>
  <c r="O642" i="6" s="1"/>
  <c r="O643" i="6" a="1"/>
  <c r="O643" i="6" s="1"/>
  <c r="O644" i="6" a="1"/>
  <c r="O644" i="6" s="1"/>
  <c r="O645" i="6" a="1"/>
  <c r="O645" i="6" s="1"/>
  <c r="O646" i="6" a="1"/>
  <c r="O646" i="6" s="1"/>
  <c r="O647" i="6" a="1"/>
  <c r="O647" i="6" s="1"/>
  <c r="O648" i="6" a="1"/>
  <c r="O648" i="6"/>
  <c r="O649" i="6" a="1"/>
  <c r="O649" i="6"/>
  <c r="O650" i="6" a="1"/>
  <c r="O650" i="6" s="1"/>
  <c r="O651" i="6" a="1"/>
  <c r="O651" i="6" s="1"/>
  <c r="O652" i="6" a="1"/>
  <c r="O652" i="6"/>
  <c r="O653" i="6" a="1"/>
  <c r="O653" i="6" s="1"/>
  <c r="O654" i="6" a="1"/>
  <c r="O654" i="6" s="1"/>
  <c r="O655" i="6" a="1"/>
  <c r="O655" i="6" s="1"/>
  <c r="O656" i="6" a="1"/>
  <c r="O656" i="6" s="1"/>
  <c r="O657" i="6" a="1"/>
  <c r="O657" i="6"/>
  <c r="O658" i="6" a="1"/>
  <c r="O658" i="6" s="1"/>
  <c r="O659" i="6" a="1"/>
  <c r="O659" i="6" s="1"/>
  <c r="O660" i="6" a="1"/>
  <c r="O660" i="6" s="1"/>
  <c r="O661" i="6" a="1"/>
  <c r="O661" i="6" s="1"/>
  <c r="O662" i="6" a="1"/>
  <c r="O662" i="6" s="1"/>
  <c r="O663" i="6" a="1"/>
  <c r="O663" i="6" s="1"/>
  <c r="O664" i="6" a="1"/>
  <c r="O664" i="6" s="1"/>
  <c r="O665" i="6" a="1"/>
  <c r="O665" i="6"/>
  <c r="O666" i="6" a="1"/>
  <c r="O666" i="6" s="1"/>
  <c r="O667" i="6" a="1"/>
  <c r="O667" i="6" s="1"/>
  <c r="O668" i="6" a="1"/>
  <c r="O668" i="6" s="1"/>
  <c r="O669" i="6" a="1"/>
  <c r="O669" i="6" s="1"/>
  <c r="O670" i="6" a="1"/>
  <c r="O670" i="6" s="1"/>
  <c r="O671" i="6" a="1"/>
  <c r="O671" i="6" s="1"/>
  <c r="O672" i="6" a="1"/>
  <c r="O672" i="6" s="1"/>
  <c r="O673" i="6" a="1"/>
  <c r="O673" i="6" s="1"/>
  <c r="O674" i="6" a="1"/>
  <c r="O674" i="6" s="1"/>
  <c r="O675" i="6" a="1"/>
  <c r="O675" i="6"/>
  <c r="O676" i="6" a="1"/>
  <c r="O676" i="6"/>
  <c r="O677" i="6" a="1"/>
  <c r="O677" i="6" s="1"/>
  <c r="O678" i="6" a="1"/>
  <c r="O678" i="6"/>
  <c r="O679" i="6" a="1"/>
  <c r="O679" i="6" s="1"/>
  <c r="O680" i="6" a="1"/>
  <c r="O680" i="6" s="1"/>
  <c r="O681" i="6" a="1"/>
  <c r="O681" i="6" s="1"/>
  <c r="O682" i="6" a="1"/>
  <c r="O682" i="6" s="1"/>
  <c r="O683" i="6" a="1"/>
  <c r="O683" i="6"/>
  <c r="O684" i="6" a="1"/>
  <c r="O684" i="6" s="1"/>
  <c r="O685" i="6" a="1"/>
  <c r="O685" i="6"/>
  <c r="O686" i="6" a="1"/>
  <c r="O686" i="6"/>
  <c r="O687" i="6" a="1"/>
  <c r="O687" i="6" s="1"/>
  <c r="O688" i="6" a="1"/>
  <c r="O688" i="6" s="1"/>
  <c r="O689" i="6" a="1"/>
  <c r="O689" i="6" s="1"/>
  <c r="O690" i="6" a="1"/>
  <c r="O690" i="6" s="1"/>
  <c r="O691" i="6" a="1"/>
  <c r="O691" i="6"/>
  <c r="O692" i="6" a="1"/>
  <c r="O692" i="6" s="1"/>
  <c r="O693" i="6" a="1"/>
  <c r="O693" i="6"/>
  <c r="O694" i="6" a="1"/>
  <c r="O694" i="6" s="1"/>
  <c r="O695" i="6" a="1"/>
  <c r="O695" i="6" s="1"/>
  <c r="O696" i="6" a="1"/>
  <c r="O696" i="6" s="1"/>
  <c r="O697" i="6" a="1"/>
  <c r="O697" i="6" s="1"/>
  <c r="O698" i="6" a="1"/>
  <c r="O698" i="6" s="1"/>
  <c r="O699" i="6" a="1"/>
  <c r="O699" i="6"/>
  <c r="O700" i="6" a="1"/>
  <c r="O700" i="6"/>
  <c r="O701" i="6" a="1"/>
  <c r="O701" i="6"/>
  <c r="O702" i="6" a="1"/>
  <c r="O702" i="6" s="1"/>
  <c r="O703" i="6" a="1"/>
  <c r="O703" i="6" s="1"/>
  <c r="O704" i="6" a="1"/>
  <c r="O704" i="6" s="1"/>
  <c r="O705" i="6" a="1"/>
  <c r="O705" i="6" s="1"/>
  <c r="O706" i="6" a="1"/>
  <c r="O706" i="6" s="1"/>
  <c r="O707" i="6" a="1"/>
  <c r="O707" i="6"/>
  <c r="O708" i="6" a="1"/>
  <c r="O708" i="6"/>
  <c r="O709" i="6" a="1"/>
  <c r="O709" i="6"/>
  <c r="O710" i="6" a="1"/>
  <c r="O710" i="6"/>
  <c r="O711" i="6" a="1"/>
  <c r="O711" i="6" s="1"/>
  <c r="O712" i="6" a="1"/>
  <c r="O712" i="6" s="1"/>
  <c r="O713" i="6" a="1"/>
  <c r="O713" i="6" s="1"/>
  <c r="O714" i="6" a="1"/>
  <c r="O714" i="6" s="1"/>
  <c r="O715" i="6" a="1"/>
  <c r="O715" i="6"/>
  <c r="O716" i="6" a="1"/>
  <c r="O716" i="6" s="1"/>
  <c r="O717" i="6" a="1"/>
  <c r="O717" i="6"/>
  <c r="O718" i="6" a="1"/>
  <c r="O718" i="6"/>
  <c r="O719" i="6" a="1"/>
  <c r="O719" i="6" s="1"/>
  <c r="O720" i="6" a="1"/>
  <c r="O720" i="6" s="1"/>
  <c r="O721" i="6" a="1"/>
  <c r="O721" i="6" s="1"/>
  <c r="O722" i="6" a="1"/>
  <c r="O722" i="6" s="1"/>
  <c r="O723" i="6" a="1"/>
  <c r="O723" i="6"/>
  <c r="O724" i="6" a="1"/>
  <c r="O724" i="6" s="1"/>
  <c r="O725" i="6" a="1"/>
  <c r="O725" i="6"/>
  <c r="O726" i="6" a="1"/>
  <c r="O726" i="6" s="1"/>
  <c r="O727" i="6" a="1"/>
  <c r="O727" i="6" s="1"/>
  <c r="O728" i="6" a="1"/>
  <c r="O728" i="6" s="1"/>
  <c r="O729" i="6" a="1"/>
  <c r="O729" i="6" s="1"/>
  <c r="O730" i="6" a="1"/>
  <c r="O730" i="6" s="1"/>
  <c r="O731" i="6" a="1"/>
  <c r="O731" i="6"/>
  <c r="O732" i="6" a="1"/>
  <c r="O732" i="6"/>
  <c r="O733" i="6" a="1"/>
  <c r="O733" i="6"/>
  <c r="O734" i="6" a="1"/>
  <c r="O734" i="6" s="1"/>
  <c r="O735" i="6" a="1"/>
  <c r="O735" i="6" s="1"/>
  <c r="O736" i="6" a="1"/>
  <c r="O736" i="6" s="1"/>
  <c r="O737" i="6" a="1"/>
  <c r="O737" i="6" s="1"/>
  <c r="O738" i="6" a="1"/>
  <c r="O738" i="6" s="1"/>
  <c r="O739" i="6" a="1"/>
  <c r="O739" i="6"/>
  <c r="O740" i="6" a="1"/>
  <c r="O740" i="6"/>
  <c r="O741" i="6" a="1"/>
  <c r="O741" i="6"/>
  <c r="O742" i="6" a="1"/>
  <c r="O742" i="6"/>
  <c r="O743" i="6" a="1"/>
  <c r="O743" i="6" s="1"/>
  <c r="O744" i="6" a="1"/>
  <c r="O744" i="6" s="1"/>
  <c r="O745" i="6" a="1"/>
  <c r="O745" i="6" s="1"/>
  <c r="O746" i="6" a="1"/>
  <c r="O746" i="6" s="1"/>
  <c r="O747" i="6" a="1"/>
  <c r="O747" i="6"/>
  <c r="O748" i="6" a="1"/>
  <c r="O748" i="6" s="1"/>
  <c r="O749" i="6" a="1"/>
  <c r="O749" i="6"/>
  <c r="O750" i="6" a="1"/>
  <c r="O750" i="6"/>
  <c r="O751" i="6" a="1"/>
  <c r="O751" i="6" s="1"/>
  <c r="O752" i="6" a="1"/>
  <c r="O752" i="6" s="1"/>
  <c r="O753" i="6" a="1"/>
  <c r="O753" i="6" s="1"/>
  <c r="O754" i="6" a="1"/>
  <c r="O754" i="6" s="1"/>
  <c r="O755" i="6" a="1"/>
  <c r="O755" i="6"/>
  <c r="O756" i="6" a="1"/>
  <c r="O756" i="6" s="1"/>
  <c r="O757" i="6" a="1"/>
  <c r="O757" i="6"/>
  <c r="O758" i="6" a="1"/>
  <c r="O758" i="6" s="1"/>
  <c r="O759" i="6" a="1"/>
  <c r="O759" i="6" s="1"/>
  <c r="O760" i="6" a="1"/>
  <c r="O760" i="6" s="1"/>
  <c r="O761" i="6" a="1"/>
  <c r="O761" i="6" s="1"/>
  <c r="O762" i="6" a="1"/>
  <c r="O762" i="6" s="1"/>
  <c r="O763" i="6" a="1"/>
  <c r="O763" i="6"/>
  <c r="O764" i="6" a="1"/>
  <c r="O764" i="6"/>
  <c r="O765" i="6" a="1"/>
  <c r="O765" i="6"/>
  <c r="O766" i="6" a="1"/>
  <c r="O766" i="6" s="1"/>
  <c r="O767" i="6" a="1"/>
  <c r="O767" i="6" s="1"/>
  <c r="O768" i="6" a="1"/>
  <c r="O768" i="6" s="1"/>
  <c r="O769" i="6" a="1"/>
  <c r="O769" i="6" s="1"/>
  <c r="O770" i="6" a="1"/>
  <c r="O770" i="6" s="1"/>
  <c r="O771" i="6" a="1"/>
  <c r="O771" i="6"/>
  <c r="O772" i="6" a="1"/>
  <c r="O772" i="6"/>
  <c r="O773" i="6" a="1"/>
  <c r="O773" i="6"/>
  <c r="O774" i="6" a="1"/>
  <c r="O774" i="6"/>
  <c r="O775" i="6" a="1"/>
  <c r="O775" i="6" s="1"/>
  <c r="O776" i="6" a="1"/>
  <c r="O776" i="6" s="1"/>
  <c r="O777" i="6" a="1"/>
  <c r="O777" i="6" s="1"/>
  <c r="O778" i="6" a="1"/>
  <c r="O778" i="6" s="1"/>
  <c r="O779" i="6" a="1"/>
  <c r="O779" i="6"/>
  <c r="O780" i="6" a="1"/>
  <c r="O780" i="6" s="1"/>
  <c r="O781" i="6" a="1"/>
  <c r="O781" i="6"/>
  <c r="O782" i="6" a="1"/>
  <c r="O782" i="6"/>
  <c r="O783" i="6" a="1"/>
  <c r="O783" i="6" s="1"/>
  <c r="O784" i="6" a="1"/>
  <c r="O784" i="6" s="1"/>
  <c r="O785" i="6" a="1"/>
  <c r="O785" i="6" s="1"/>
  <c r="O786" i="6" a="1"/>
  <c r="O786" i="6" s="1"/>
  <c r="O787" i="6" a="1"/>
  <c r="O787" i="6"/>
  <c r="O788" i="6" a="1"/>
  <c r="O788" i="6" s="1"/>
  <c r="O789" i="6" a="1"/>
  <c r="O789" i="6"/>
  <c r="O790" i="6" a="1"/>
  <c r="O790" i="6" s="1"/>
  <c r="O791" i="6" a="1"/>
  <c r="O791" i="6" s="1"/>
  <c r="O792" i="6" a="1"/>
  <c r="O792" i="6" s="1"/>
  <c r="O793" i="6" a="1"/>
  <c r="O793" i="6" s="1"/>
  <c r="O794" i="6" a="1"/>
  <c r="O794" i="6" s="1"/>
  <c r="O795" i="6" a="1"/>
  <c r="O795" i="6"/>
  <c r="O796" i="6" a="1"/>
  <c r="O796" i="6"/>
  <c r="O797" i="6" a="1"/>
  <c r="O797" i="6"/>
  <c r="O798" i="6" a="1"/>
  <c r="O798" i="6" s="1"/>
  <c r="O799" i="6" a="1"/>
  <c r="O799" i="6" s="1"/>
  <c r="O800" i="6" a="1"/>
  <c r="O800" i="6" s="1"/>
  <c r="O801" i="6" a="1"/>
  <c r="O801" i="6" s="1"/>
  <c r="O802" i="6" a="1"/>
  <c r="O802" i="6" s="1"/>
  <c r="O803" i="6" a="1"/>
  <c r="O803" i="6"/>
  <c r="O804" i="6" a="1"/>
  <c r="O804" i="6"/>
  <c r="O805" i="6" a="1"/>
  <c r="O805" i="6"/>
  <c r="O806" i="6" a="1"/>
  <c r="O806" i="6"/>
  <c r="O807" i="6" a="1"/>
  <c r="O807" i="6" s="1"/>
  <c r="O808" i="6" a="1"/>
  <c r="O808" i="6" s="1"/>
  <c r="O809" i="6" a="1"/>
  <c r="O809" i="6" s="1"/>
  <c r="O810" i="6" a="1"/>
  <c r="O810" i="6" s="1"/>
  <c r="O811" i="6" a="1"/>
  <c r="O811" i="6"/>
  <c r="O812" i="6" a="1"/>
  <c r="O812" i="6" s="1"/>
  <c r="O813" i="6" a="1"/>
  <c r="O813" i="6"/>
  <c r="O814" i="6" a="1"/>
  <c r="O814" i="6"/>
  <c r="O815" i="6" a="1"/>
  <c r="O815" i="6" s="1"/>
  <c r="O816" i="6" a="1"/>
  <c r="O816" i="6" s="1"/>
  <c r="O817" i="6" a="1"/>
  <c r="O817" i="6" s="1"/>
  <c r="O818" i="6" a="1"/>
  <c r="O818" i="6" s="1"/>
  <c r="O819" i="6" a="1"/>
  <c r="O819" i="6"/>
  <c r="O820" i="6" a="1"/>
  <c r="O820" i="6" s="1"/>
  <c r="O821" i="6" a="1"/>
  <c r="O821" i="6"/>
  <c r="O822" i="6" a="1"/>
  <c r="O822" i="6" s="1"/>
  <c r="O823" i="6" a="1"/>
  <c r="O823" i="6" s="1"/>
  <c r="O824" i="6" a="1"/>
  <c r="O824" i="6" s="1"/>
  <c r="O825" i="6" a="1"/>
  <c r="O825" i="6" s="1"/>
  <c r="O826" i="6" a="1"/>
  <c r="O826" i="6" s="1"/>
  <c r="O827" i="6" a="1"/>
  <c r="O827" i="6"/>
  <c r="O828" i="6" a="1"/>
  <c r="O828" i="6"/>
  <c r="O829" i="6" a="1"/>
  <c r="O829" i="6"/>
  <c r="O830" i="6" a="1"/>
  <c r="O830" i="6" s="1"/>
  <c r="O831" i="6" a="1"/>
  <c r="O831" i="6" s="1"/>
  <c r="O832" i="6" a="1"/>
  <c r="O832" i="6" s="1"/>
  <c r="O833" i="6" a="1"/>
  <c r="O833" i="6" s="1"/>
  <c r="O834" i="6" a="1"/>
  <c r="O834" i="6" s="1"/>
  <c r="O835" i="6" a="1"/>
  <c r="O835" i="6"/>
  <c r="O836" i="6" a="1"/>
  <c r="O836" i="6"/>
  <c r="O837" i="6" a="1"/>
  <c r="O837" i="6"/>
  <c r="O838" i="6" a="1"/>
  <c r="O838" i="6"/>
  <c r="O839" i="6" a="1"/>
  <c r="O839" i="6" s="1"/>
  <c r="O840" i="6" a="1"/>
  <c r="O840" i="6" s="1"/>
  <c r="O841" i="6" a="1"/>
  <c r="O841" i="6" s="1"/>
  <c r="O842" i="6" a="1"/>
  <c r="O842" i="6" s="1"/>
  <c r="O843" i="6" a="1"/>
  <c r="O843" i="6"/>
  <c r="O844" i="6" a="1"/>
  <c r="O844" i="6" s="1"/>
  <c r="O845" i="6" a="1"/>
  <c r="O845" i="6"/>
  <c r="O846" i="6" a="1"/>
  <c r="O846" i="6"/>
  <c r="O847" i="6" a="1"/>
  <c r="O847" i="6" s="1"/>
  <c r="O848" i="6" a="1"/>
  <c r="O848" i="6" s="1"/>
  <c r="O849" i="6" a="1"/>
  <c r="O849" i="6" s="1"/>
  <c r="O850" i="6" a="1"/>
  <c r="O850" i="6" s="1"/>
  <c r="O851" i="6" a="1"/>
  <c r="O851" i="6"/>
  <c r="O852" i="6" a="1"/>
  <c r="O852" i="6" s="1"/>
  <c r="O853" i="6" a="1"/>
  <c r="O853" i="6"/>
  <c r="O854" i="6" a="1"/>
  <c r="O854" i="6" s="1"/>
  <c r="O855" i="6" a="1"/>
  <c r="O855" i="6" s="1"/>
  <c r="O856" i="6" a="1"/>
  <c r="O856" i="6" s="1"/>
  <c r="O857" i="6" a="1"/>
  <c r="O857" i="6" s="1"/>
  <c r="O858" i="6" a="1"/>
  <c r="O858" i="6" s="1"/>
  <c r="O859" i="6" a="1"/>
  <c r="O859" i="6"/>
  <c r="O860" i="6" a="1"/>
  <c r="O860" i="6"/>
  <c r="O861" i="6" a="1"/>
  <c r="O861" i="6"/>
  <c r="O862" i="6" a="1"/>
  <c r="O862" i="6" s="1"/>
  <c r="O863" i="6" a="1"/>
  <c r="O863" i="6" s="1"/>
  <c r="O864" i="6" a="1"/>
  <c r="O864" i="6" s="1"/>
  <c r="O865" i="6" a="1"/>
  <c r="O865" i="6" s="1"/>
  <c r="O866" i="6" a="1"/>
  <c r="O866" i="6" s="1"/>
  <c r="O867" i="6" a="1"/>
  <c r="O867" i="6"/>
  <c r="O868" i="6" a="1"/>
  <c r="O868" i="6"/>
  <c r="O869" i="6" a="1"/>
  <c r="O869" i="6"/>
  <c r="O870" i="6" a="1"/>
  <c r="O870" i="6"/>
  <c r="O871" i="6" a="1"/>
  <c r="O871" i="6" s="1"/>
  <c r="O872" i="6" a="1"/>
  <c r="O872" i="6" s="1"/>
  <c r="O873" i="6" a="1"/>
  <c r="O873" i="6" s="1"/>
  <c r="O874" i="6" a="1"/>
  <c r="O874" i="6" s="1"/>
  <c r="O875" i="6" a="1"/>
  <c r="O875" i="6"/>
  <c r="O876" i="6" a="1"/>
  <c r="O876" i="6" s="1"/>
  <c r="O877" i="6" a="1"/>
  <c r="O877" i="6"/>
  <c r="O878" i="6" a="1"/>
  <c r="O878" i="6"/>
  <c r="O879" i="6" a="1"/>
  <c r="O879" i="6" s="1"/>
  <c r="O880" i="6" a="1"/>
  <c r="O880" i="6" s="1"/>
  <c r="O881" i="6" a="1"/>
  <c r="O881" i="6" s="1"/>
  <c r="O882" i="6" a="1"/>
  <c r="O882" i="6" s="1"/>
  <c r="O883" i="6" a="1"/>
  <c r="O883" i="6"/>
  <c r="O884" i="6" a="1"/>
  <c r="O884" i="6" s="1"/>
  <c r="O885" i="6" a="1"/>
  <c r="O885" i="6"/>
  <c r="O886" i="6" a="1"/>
  <c r="O886" i="6" s="1"/>
  <c r="O887" i="6" a="1"/>
  <c r="O887" i="6" s="1"/>
  <c r="O888" i="6" a="1"/>
  <c r="O888" i="6" s="1"/>
  <c r="O889" i="6" a="1"/>
  <c r="O889" i="6" s="1"/>
  <c r="O890" i="6" a="1"/>
  <c r="O890" i="6" s="1"/>
  <c r="O891" i="6" a="1"/>
  <c r="O891" i="6"/>
  <c r="O892" i="6" a="1"/>
  <c r="O892" i="6"/>
  <c r="O893" i="6" a="1"/>
  <c r="O893" i="6"/>
  <c r="O894" i="6" a="1"/>
  <c r="O894" i="6" s="1"/>
  <c r="O895" i="6" a="1"/>
  <c r="O895" i="6" s="1"/>
  <c r="O896" i="6" a="1"/>
  <c r="O896" i="6" s="1"/>
  <c r="O897" i="6" a="1"/>
  <c r="O897" i="6" s="1"/>
  <c r="O898" i="6" a="1"/>
  <c r="O898" i="6" s="1"/>
  <c r="O899" i="6" a="1"/>
  <c r="O899" i="6"/>
  <c r="O900" i="6" a="1"/>
  <c r="O900" i="6"/>
  <c r="O901" i="6" a="1"/>
  <c r="O901" i="6"/>
  <c r="O902" i="6" a="1"/>
  <c r="O902" i="6"/>
  <c r="O903" i="6" a="1"/>
  <c r="O903" i="6" s="1"/>
  <c r="O904" i="6" a="1"/>
  <c r="O904" i="6" s="1"/>
  <c r="O905" i="6" a="1"/>
  <c r="O905" i="6" s="1"/>
  <c r="O906" i="6" a="1"/>
  <c r="O906" i="6" s="1"/>
  <c r="O907" i="6" a="1"/>
  <c r="O907" i="6"/>
  <c r="O908" i="6" a="1"/>
  <c r="O908" i="6" s="1"/>
  <c r="O909" i="6" a="1"/>
  <c r="O909" i="6"/>
  <c r="O910" i="6" a="1"/>
  <c r="O910" i="6"/>
  <c r="O911" i="6" a="1"/>
  <c r="O911" i="6" s="1"/>
  <c r="O912" i="6" a="1"/>
  <c r="O912" i="6" s="1"/>
  <c r="O913" i="6" a="1"/>
  <c r="O913" i="6" s="1"/>
  <c r="O914" i="6" a="1"/>
  <c r="O914" i="6" s="1"/>
  <c r="O915" i="6" a="1"/>
  <c r="O915" i="6"/>
  <c r="O916" i="6" a="1"/>
  <c r="O916" i="6" s="1"/>
  <c r="O917" i="6" a="1"/>
  <c r="O917" i="6"/>
  <c r="O918" i="6" a="1"/>
  <c r="O918" i="6" s="1"/>
  <c r="O919" i="6" a="1"/>
  <c r="O919" i="6" s="1"/>
  <c r="O920" i="6" a="1"/>
  <c r="O920" i="6" s="1"/>
  <c r="O921" i="6" a="1"/>
  <c r="O921" i="6" s="1"/>
  <c r="O922" i="6" a="1"/>
  <c r="O922" i="6" s="1"/>
  <c r="O923" i="6" a="1"/>
  <c r="O923" i="6"/>
  <c r="O924" i="6" a="1"/>
  <c r="O924" i="6"/>
  <c r="O925" i="6" a="1"/>
  <c r="O925" i="6"/>
  <c r="O926" i="6" a="1"/>
  <c r="O926" i="6" s="1"/>
  <c r="O927" i="6" a="1"/>
  <c r="O927" i="6" s="1"/>
  <c r="O928" i="6" a="1"/>
  <c r="O928" i="6" s="1"/>
  <c r="O929" i="6" a="1"/>
  <c r="O929" i="6" s="1"/>
  <c r="O930" i="6" a="1"/>
  <c r="O930" i="6" s="1"/>
  <c r="O931" i="6" a="1"/>
  <c r="O931" i="6"/>
  <c r="O932" i="6" a="1"/>
  <c r="O932" i="6"/>
  <c r="O933" i="6" a="1"/>
  <c r="O933" i="6"/>
  <c r="O934" i="6" a="1"/>
  <c r="O934" i="6"/>
  <c r="O935" i="6" a="1"/>
  <c r="O935" i="6" s="1"/>
  <c r="O936" i="6" a="1"/>
  <c r="O936" i="6" s="1"/>
  <c r="O937" i="6" a="1"/>
  <c r="O937" i="6" s="1"/>
  <c r="O938" i="6" a="1"/>
  <c r="O938" i="6" s="1"/>
  <c r="O939" i="6" a="1"/>
  <c r="O939" i="6"/>
  <c r="O940" i="6" a="1"/>
  <c r="O940" i="6" s="1"/>
  <c r="O941" i="6" a="1"/>
  <c r="O941" i="6"/>
  <c r="O942" i="6" a="1"/>
  <c r="O942" i="6"/>
  <c r="O943" i="6" a="1"/>
  <c r="O943" i="6" s="1"/>
  <c r="O944" i="6" a="1"/>
  <c r="O944" i="6" s="1"/>
  <c r="O945" i="6" a="1"/>
  <c r="O945" i="6" s="1"/>
  <c r="O946" i="6" a="1"/>
  <c r="O946" i="6" s="1"/>
  <c r="O947" i="6" a="1"/>
  <c r="O947" i="6"/>
  <c r="O948" i="6" a="1"/>
  <c r="O948" i="6" s="1"/>
  <c r="O949" i="6" a="1"/>
  <c r="O949" i="6"/>
  <c r="O950" i="6" a="1"/>
  <c r="O950" i="6" s="1"/>
  <c r="O951" i="6" a="1"/>
  <c r="O951" i="6" s="1"/>
  <c r="O952" i="6" a="1"/>
  <c r="O952" i="6" s="1"/>
  <c r="O953" i="6" a="1"/>
  <c r="O953" i="6" s="1"/>
  <c r="O954" i="6" a="1"/>
  <c r="O954" i="6" s="1"/>
  <c r="O955" i="6" a="1"/>
  <c r="O955" i="6"/>
  <c r="O956" i="6" a="1"/>
  <c r="O956" i="6"/>
  <c r="O957" i="6" a="1"/>
  <c r="O957" i="6"/>
  <c r="O958" i="6" a="1"/>
  <c r="O958" i="6" s="1"/>
  <c r="O959" i="6" a="1"/>
  <c r="O959" i="6" s="1"/>
  <c r="A12" i="14"/>
  <c r="A15" i="14"/>
  <c r="A9" i="14"/>
  <c r="A6"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B236EC-76A5-4652-BC54-47E889A0062E}" keepAlive="1" name="Query - Computed insight - Success of active sellers" description="Connection to the 'Computed insight - Success of active sellers' query in the workbook." type="5" refreshedVersion="0" background="1">
    <dbPr connection="Provider=Microsoft.Mashup.OleDb.1;Data Source=$Workbook$;Location=&quot;Computed insight - Success of active sellers&quot;;Extended Properties=&quot;&quot;" command="SELECT * FROM [Computed insight - Success of active sellers]"/>
  </connection>
  <connection id="2" xr16:uid="{A02B570E-B279-4614-A648-08A4505B5C37}" keepAlive="1" name="Query - summer-products-with-rating-and-performance_2020-08" description="Connection to the 'summer-products-with-rating-and-performance_2020-08' query in the workbook." type="5" refreshedVersion="0" background="1">
    <dbPr connection="Provider=Microsoft.Mashup.OleDb.1;Data Source=$Workbook$;Location=summer-products-with-rating-and-performance_2020-08;Extended Properties=&quot;&quot;" command="SELECT * FROM [summer-products-with-rating-and-performance_2020-08]"/>
  </connection>
  <connection id="3" xr16:uid="{BB170A5C-E318-4FF7-AF39-033BE87227A2}" keepAlive="1" name="Query - unique-categories" description="Connection to the 'unique-categories' query in the workbook." type="5" refreshedVersion="0" background="1">
    <dbPr connection="Provider=Microsoft.Mashup.OleDb.1;Data Source=$Workbook$;Location=unique-categories;Extended Properties=&quot;&quot;" command="SELECT * FROM [unique-categories]"/>
  </connection>
  <connection id="4" xr16:uid="{E9A107F3-91B9-4C9E-BC49-63DE58E668A5}" keepAlive="1" name="Query - unique-categories sorted-by-count" description="Connection to the 'unique-categories sorted-by-count' query in the workbook." type="5" refreshedVersion="0" background="1">
    <dbPr connection="Provider=Microsoft.Mashup.OleDb.1;Data Source=$Workbook$;Location=&quot;unique-categories sorted-by-count&quot;;Extended Properties=&quot;&quot;" command="SELECT * FROM [unique-categories sorted-by-coun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<sst xmlns="http://schemas.openxmlformats.org/spreadsheetml/2006/main" count="1013" uniqueCount="995">
  <si>
    <t>index</t>
  </si>
  <si>
    <t>rating</t>
  </si>
  <si>
    <t>595097d6a26f6e070cb878d1</t>
  </si>
  <si>
    <t>56458aa03a698c35c9050988</t>
  </si>
  <si>
    <t>5d464a1ffdf7bc44ee933c65</t>
  </si>
  <si>
    <t>58cfdefdacb37b556efdff7c</t>
  </si>
  <si>
    <t>5ab3b592c3911a095ad5dadb</t>
  </si>
  <si>
    <t>5e4b9c3801ba9d210036fc5a</t>
  </si>
  <si>
    <t>5652f4053a698c76dc9a3f37</t>
  </si>
  <si>
    <t>5d45349676befe65691dcfbb</t>
  </si>
  <si>
    <t>5d42980e8388970d32294ddc</t>
  </si>
  <si>
    <t>5ba2251b4315d12ebce873fa</t>
  </si>
  <si>
    <t>5952a218e81e8a4c30b5bbbc</t>
  </si>
  <si>
    <t>56cd27b048e91e13aa3986e4</t>
  </si>
  <si>
    <t>5d3c419de4b65d4fb81e7286</t>
  </si>
  <si>
    <t>566eaa533a698c6442549a74</t>
  </si>
  <si>
    <t>5926c5ace8ff5525241b368d</t>
  </si>
  <si>
    <t>566012f6769a5629aefca555</t>
  </si>
  <si>
    <t>5b8beef49996c87b299cdbec</t>
  </si>
  <si>
    <t>5708773c3c02161b3f8c7900</t>
  </si>
  <si>
    <t>59cdc2112351344fc0dfa54f</t>
  </si>
  <si>
    <t>5ae296b6cd968d66be12d247</t>
  </si>
  <si>
    <t>5576bb43de4a8c24953ae98f</t>
  </si>
  <si>
    <t>55ed5a3362e273427107759e</t>
  </si>
  <si>
    <t>5ae93337d204cc177313f242</t>
  </si>
  <si>
    <t>5cb636dda7173671aedef051</t>
  </si>
  <si>
    <t>583138b06339b410ab9663ec</t>
  </si>
  <si>
    <t>575cfe470551415caa5505b5</t>
  </si>
  <si>
    <t>5a0fe8770a332a615df86c5e</t>
  </si>
  <si>
    <t>56c6f731bc435416ed5984d7</t>
  </si>
  <si>
    <t>58ba636a69ad29505a730852</t>
  </si>
  <si>
    <t>5adef3559d5e9767b3177472</t>
  </si>
  <si>
    <t>539937d634067e06707b1a8e</t>
  </si>
  <si>
    <t>54d30f53dc8ce133f79b434d</t>
  </si>
  <si>
    <t>5d49403060c79c113a908720</t>
  </si>
  <si>
    <t>547bdd648edcfa5656cac810</t>
  </si>
  <si>
    <t>582833faea77701b456c786a</t>
  </si>
  <si>
    <t>559d33adc605853731afbf10</t>
  </si>
  <si>
    <t>5684eae9daaaee26a0fdadba</t>
  </si>
  <si>
    <t>55dc3dcd8950c811f73a48a4</t>
  </si>
  <si>
    <t>54bcaabb39b8c00b482a115f</t>
  </si>
  <si>
    <t>5d48eef4b5144c50c2ac0af3</t>
  </si>
  <si>
    <t>5e5c7c2c77179e31406eece1</t>
  </si>
  <si>
    <t>58501ac7b9e3474c9f4b2afd</t>
  </si>
  <si>
    <t>56e6928521790d587623b3b4</t>
  </si>
  <si>
    <t>5e61c817039ce2184a0ed392</t>
  </si>
  <si>
    <t>57108cd6a995b507211ef8fb</t>
  </si>
  <si>
    <t>5b160017daac45594728d9ba</t>
  </si>
  <si>
    <t>59257409b674b15e8191b8de</t>
  </si>
  <si>
    <t>5b0e27596b9302238a10c3f8</t>
  </si>
  <si>
    <t>548142ac653d51041ac1174f</t>
  </si>
  <si>
    <t>5684ca0f73c0e02989b91cad</t>
  </si>
  <si>
    <t>5e5363458cd99e4035bcd1c8</t>
  </si>
  <si>
    <t>5c51b9b468178729c4213657</t>
  </si>
  <si>
    <t>55c89dc93a698c6010edccc4</t>
  </si>
  <si>
    <t>5268759b736046671957190c</t>
  </si>
  <si>
    <t>5660e53e769a564b3e3aeca0</t>
  </si>
  <si>
    <t>5eb51ed929e7865dc268a561</t>
  </si>
  <si>
    <t>5a4b4ab27dee4a057cca7429</t>
  </si>
  <si>
    <t>5d4bbed57ad242352a46d910</t>
  </si>
  <si>
    <t>5e4b6a0c57cc9b0b53e499a4</t>
  </si>
  <si>
    <t>5b4028d56385741bff3b9163</t>
  </si>
  <si>
    <t>55e7e41e606d0a18fdfc67d1</t>
  </si>
  <si>
    <t>5eb8b5ebac21070efaf91c99</t>
  </si>
  <si>
    <t>580f06685250a20783d33e56</t>
  </si>
  <si>
    <t>5710ac98b2d43a5925da8dd8</t>
  </si>
  <si>
    <t>577fb2b368116418674befd9</t>
  </si>
  <si>
    <t>5b14d31d7e43f22f255ea98c</t>
  </si>
  <si>
    <t>583d7475269aad1da3dc2294</t>
  </si>
  <si>
    <t>55c8a4c33a698c6010edcd9e</t>
  </si>
  <si>
    <t>5aa1f31308a2240a052e9a1a</t>
  </si>
  <si>
    <t>53f6b7c81c105e2dfac91041</t>
  </si>
  <si>
    <t>592955ef980a346d826f7bfc</t>
  </si>
  <si>
    <t>575ab2de20c8d15cb59e5ee0</t>
  </si>
  <si>
    <t>5d462e58f320403871a78593</t>
  </si>
  <si>
    <t>583e7f658108913bced6f8cf</t>
  </si>
  <si>
    <t>58311e2257e86a1b8863f74c</t>
  </si>
  <si>
    <t>58ad449708de0c6dc59d9e06</t>
  </si>
  <si>
    <t>5b8e776e2eb51f7a5900a88a</t>
  </si>
  <si>
    <t>5b348167af6b3122dba38825</t>
  </si>
  <si>
    <t>591ed674fc9cce0fcd7ff354</t>
  </si>
  <si>
    <t>546415e89719cd2ac2e20045</t>
  </si>
  <si>
    <t>5c73a50ba0e25714e7f2bf90</t>
  </si>
  <si>
    <t>58259c456ebae74739ecfdc8</t>
  </si>
  <si>
    <t>5b2620ddd1c360688799eb51</t>
  </si>
  <si>
    <t>5ae417f567d25c041f6dd934</t>
  </si>
  <si>
    <t>5a7b23a69bda4e3d375e7b3f</t>
  </si>
  <si>
    <t>5a792e56a71fbf471cf1fc99</t>
  </si>
  <si>
    <t>53f2beb39020ee03566d6e18</t>
  </si>
  <si>
    <t>5368f053bb72c5150191a140</t>
  </si>
  <si>
    <t>558c2cdc89d53c4005ea2920</t>
  </si>
  <si>
    <t>56c94ae6df108f5af83b1e0f</t>
  </si>
  <si>
    <t>5e72dc545021d6138b405bdc</t>
  </si>
  <si>
    <t>5d40ffe372b0c94d00f6c1f0</t>
  </si>
  <si>
    <t>5486cf7540b3786ec7c7e4ee</t>
  </si>
  <si>
    <t>5de0981739adf2a3406bed18</t>
  </si>
  <si>
    <t>55c8029641d799421d41fe3a</t>
  </si>
  <si>
    <t>5e64b92e00ff3743cf8f3c3d</t>
  </si>
  <si>
    <t>58a6b5d975b8da57c954c719</t>
  </si>
  <si>
    <t>5d9f24a451a4ed72d95bac9c</t>
  </si>
  <si>
    <t>556fc80f95528719e004fe8b</t>
  </si>
  <si>
    <t>5a2bc05fddda8c49398c52fe</t>
  </si>
  <si>
    <t>5ac0310597223354603de223</t>
  </si>
  <si>
    <t>5d5256c527752b19063d8c53</t>
  </si>
  <si>
    <t>55dc300452a04b658ad68139</t>
  </si>
  <si>
    <t>57baf75f63834218e305e4f4</t>
  </si>
  <si>
    <t>5845000d330f3a4d59cff91f</t>
  </si>
  <si>
    <t>54db03867851097093c0efe7</t>
  </si>
  <si>
    <t>5d53751b40defd6833e480ad</t>
  </si>
  <si>
    <t>5db248327c0d0800c24fc084</t>
  </si>
  <si>
    <t>5dbb45d78aabea2d9e97b407</t>
  </si>
  <si>
    <t>565537c7a9a8a4572be0bef5</t>
  </si>
  <si>
    <t>58ff26fc42fc6a113afae083</t>
  </si>
  <si>
    <t>5e686e632fb13f0b010b6cd0</t>
  </si>
  <si>
    <t>5a9e4f25e05388149703d9c8</t>
  </si>
  <si>
    <t>566a47bfe9fa8a31b3ef5141</t>
  </si>
  <si>
    <t>58c910072be00b51c601ccee</t>
  </si>
  <si>
    <t>55dc2bf3b92a5941ebd4ecf2</t>
  </si>
  <si>
    <t>576518fcf093bd5e79c5e351</t>
  </si>
  <si>
    <t>5d417e7070327a2743021677</t>
  </si>
  <si>
    <t>5e6d18bceb2b33bdc975950f</t>
  </si>
  <si>
    <t>5e6771b33cce5a8dd4f6fd3c</t>
  </si>
  <si>
    <t>545dab9f5f313f1e28cb1a2f</t>
  </si>
  <si>
    <t>5acaf29d5ebcfd72403106a8</t>
  </si>
  <si>
    <t>5667f9745eec70268023940b</t>
  </si>
  <si>
    <t>583da4b58108913e6c79a32e</t>
  </si>
  <si>
    <t>5b96067f42ebca48f6c041e8</t>
  </si>
  <si>
    <t>5533c83986ff95173dc017d0</t>
  </si>
  <si>
    <t>5dde67d7801ecf6d4c385348</t>
  </si>
  <si>
    <t>5760bd976238335e38551943</t>
  </si>
  <si>
    <t>567eb3a5d8a1043c0ab70707</t>
  </si>
  <si>
    <t>55ed54947e8372421830b946</t>
  </si>
  <si>
    <t>578866243a698c1713f2d19c</t>
  </si>
  <si>
    <t>5d8b2f16ddac8e198fc7c8b7</t>
  </si>
  <si>
    <t>557ed5b886d66519ff242099</t>
  </si>
  <si>
    <t>5d47dd864f7ba75f53d67c7c</t>
  </si>
  <si>
    <t>54d83b6b6b8a771e478558de</t>
  </si>
  <si>
    <t>59b7d6e1eea5c510889ea754</t>
  </si>
  <si>
    <t>5cd6743c8da3ad22253d937f</t>
  </si>
  <si>
    <t>58183b4ea642e03dc54eda6e</t>
  </si>
  <si>
    <t>599bf53b21064f19ffffc891</t>
  </si>
  <si>
    <t>5901f6c2a8e3eb2aca4b5559</t>
  </si>
  <si>
    <t>56cd50871e15ff78c21de8a9</t>
  </si>
  <si>
    <t>5d56b32c40defd78043d5af9</t>
  </si>
  <si>
    <t>5e9a629b29e786250230ba90</t>
  </si>
  <si>
    <t>5853765779b45e0b58ad30f4</t>
  </si>
  <si>
    <t>5763e55cc6053f5e70522ad7</t>
  </si>
  <si>
    <t>583e34bb0299bc7904a92edf</t>
  </si>
  <si>
    <t>57ac5da80e3c8a18b4746013</t>
  </si>
  <si>
    <t>59afe1e030e1f33208fb2ca0</t>
  </si>
  <si>
    <t>5700e2be27992f63cdca2dca</t>
  </si>
  <si>
    <t>5d5b651b283abc16408fff54</t>
  </si>
  <si>
    <t>5dc682d24b0ae7154300d493</t>
  </si>
  <si>
    <t>5a2fa9ce6ea4a770c66f5599</t>
  </si>
  <si>
    <t>5de7a6aa4c9c821f67c14ac3</t>
  </si>
  <si>
    <t>5817f156d8ef7848c3b400cc</t>
  </si>
  <si>
    <t>5abbab1d7c27687c3daaad6e</t>
  </si>
  <si>
    <t>59f9687a37f9f80d31798d60</t>
  </si>
  <si>
    <t>5d173ba2dbf7606ee45e0b19</t>
  </si>
  <si>
    <t>5d43cb4c4c7855604ee59bbb</t>
  </si>
  <si>
    <t>590eda48f3d19c203c2648e4</t>
  </si>
  <si>
    <t>5aca1225e053885132dc837a</t>
  </si>
  <si>
    <t>5d46cdb476befe7f781dd1af</t>
  </si>
  <si>
    <t>5e4a06cb57cc9b1700e826b3</t>
  </si>
  <si>
    <t>5177b0b63feb620dd802a197</t>
  </si>
  <si>
    <t>5729fb5ce1220e593d1b86ac</t>
  </si>
  <si>
    <t>58171618bfa9fd1994661235</t>
  </si>
  <si>
    <t>5b21e84a43b3b67a3089b10d</t>
  </si>
  <si>
    <t>595b54fcd44a9b1180cb102b</t>
  </si>
  <si>
    <t>582173d6797f2308a87626e7</t>
  </si>
  <si>
    <t>5d454f4056a26067881bb903</t>
  </si>
  <si>
    <t>5eb6598ec43e5c5ab9fd5a78</t>
  </si>
  <si>
    <t>5ae56280ddf45b183333ac45</t>
  </si>
  <si>
    <t>5a3231f2e62bbc45b0bda1dd</t>
  </si>
  <si>
    <t>54af9c1428565a151043b6bf</t>
  </si>
  <si>
    <t>57713183bd6b18740117229d</t>
  </si>
  <si>
    <t>59410b5a7c64942ee36dad7a</t>
  </si>
  <si>
    <t>578caf669035dc557db297c0</t>
  </si>
  <si>
    <t>5b7ecbfa7956ef54b750df16</t>
  </si>
  <si>
    <t>53df1a1046188e7ac043c6da</t>
  </si>
  <si>
    <t>5ad1f14d40626a47903fe9df</t>
  </si>
  <si>
    <t>586c683cc87b4c4f84b6b4de</t>
  </si>
  <si>
    <t>5810bc6d61e38656e04e8ba2</t>
  </si>
  <si>
    <t>5d4e6ca57edfad27a90a6726</t>
  </si>
  <si>
    <t>5b9cc34eb226113590090c59</t>
  </si>
  <si>
    <t>580c7d0a8b67fa197454a2d1</t>
  </si>
  <si>
    <t>5a1a2758f3c1176a45e41544</t>
  </si>
  <si>
    <t>57c306d73a698c06f98ed450</t>
  </si>
  <si>
    <t>58d109c5e3830f6bcb47e35d</t>
  </si>
  <si>
    <t>586dff6c16e4106b5e5feb58</t>
  </si>
  <si>
    <t>5d3d59c772b0c92f4d1ea32d</t>
  </si>
  <si>
    <t>5a5c78ee9d0a7b724c6535fa</t>
  </si>
  <si>
    <t>5ac82ff62c49567ffa616535</t>
  </si>
  <si>
    <t>5417aada4ad3ab27e954b76c</t>
  </si>
  <si>
    <t>5b8a5636af279f1699366496</t>
  </si>
  <si>
    <t>56025ed8293a5b2d24779bde</t>
  </si>
  <si>
    <t>5e3c5fbfe217d492138970c1</t>
  </si>
  <si>
    <t>5dcf512a97383300d357ad69</t>
  </si>
  <si>
    <t>547d7e413b64451274068583</t>
  </si>
  <si>
    <t>58b7d6dd3c18975a18817d64</t>
  </si>
  <si>
    <t>5d7b761abd5aa37518970b8c</t>
  </si>
  <si>
    <t>582bd2fde18c0f0a402ba101</t>
  </si>
  <si>
    <t>5acecb61417cee2b9d27f88a</t>
  </si>
  <si>
    <t>583e3e7a5022c71b82d1b18c</t>
  </si>
  <si>
    <t>5a5a074d87c25b39c7a80ef1</t>
  </si>
  <si>
    <t>556d68d19fb8ca1a0c4d82ee</t>
  </si>
  <si>
    <t>5b39de95d3db323a3a775883</t>
  </si>
  <si>
    <t>57e90050b97437131f78c7d7</t>
  </si>
  <si>
    <t>5ae90e716691361cdb40fb0b</t>
  </si>
  <si>
    <t>56efff5017777d430c47b78e</t>
  </si>
  <si>
    <t>57a09a5649c29a34cf282715</t>
  </si>
  <si>
    <t>5d64f34f2736787d00ad93ec</t>
  </si>
  <si>
    <t>546d44001280fa3ce1bf80fa</t>
  </si>
  <si>
    <t>5810c46f02b01e15f8a10e38</t>
  </si>
  <si>
    <t>58106cfce516491e6e5f1e53</t>
  </si>
  <si>
    <t>56680c90e363a3613607ea61</t>
  </si>
  <si>
    <t>550ab2be8e8def0b2c654d4b</t>
  </si>
  <si>
    <t>58579043e950f24d94f612dc</t>
  </si>
  <si>
    <t>530306fe34067e3f15c41d87</t>
  </si>
  <si>
    <t>5df71a34092d7302140be245</t>
  </si>
  <si>
    <t>594ba69f2eac11550ec111a1</t>
  </si>
  <si>
    <t>5b6ec2f2838d931d2fbf7a28</t>
  </si>
  <si>
    <t>547465748edcfa6ceab14f70</t>
  </si>
  <si>
    <t>59c8a909ae228e37ae159559</t>
  </si>
  <si>
    <t>53082ea15aefb07dfe1f2a4f</t>
  </si>
  <si>
    <t>5b0b907d59206904541886cf</t>
  </si>
  <si>
    <t>5e1691b573bfb90406044928</t>
  </si>
  <si>
    <t>56498ab42a6bdb4474afa47b</t>
  </si>
  <si>
    <t>5dbd7b090140ee044252ed12</t>
  </si>
  <si>
    <t>576cfeed007b536be4a9ae96</t>
  </si>
  <si>
    <t>59b88527b77173631729908e</t>
  </si>
  <si>
    <t>578e02bec0e9340e993d13f4</t>
  </si>
  <si>
    <t>58d4832721ad9176d0d3d00f</t>
  </si>
  <si>
    <t>5d3da852e4b65d3e801e9b5d</t>
  </si>
  <si>
    <t>5b629265299c7e3db17cf86d</t>
  </si>
  <si>
    <t>56dce88d21396a16a47eff39</t>
  </si>
  <si>
    <t>58a6f92596f1bb57c40b0d56</t>
  </si>
  <si>
    <t>5e50fecf18034a89e1aeede8</t>
  </si>
  <si>
    <t>5836e38728f25753fe6af6a8</t>
  </si>
  <si>
    <t>5639cd9bddb94f103070ef9f</t>
  </si>
  <si>
    <t>5accdb3c1baafe6febd26cf3</t>
  </si>
  <si>
    <t>598d8d1e2afd354f6ef9950d</t>
  </si>
  <si>
    <t>57973560cb38dd77d126e9f1</t>
  </si>
  <si>
    <t>5ae00dbf67d25c69bcf0251c</t>
  </si>
  <si>
    <t>58b011e82e27bf506cee1ace</t>
  </si>
  <si>
    <t>5a6166cbedd44230ea9c60dc</t>
  </si>
  <si>
    <t>5705e40cfda6252c1a9db062</t>
  </si>
  <si>
    <t>58d20e95c7b73b52c9670c22</t>
  </si>
  <si>
    <t>578793716b944637fa356bb4</t>
  </si>
  <si>
    <t>564d8a9ac0f55a1276cd96f8</t>
  </si>
  <si>
    <t>5915c592fc9cce7eb7312bd4</t>
  </si>
  <si>
    <t>5986cc750ec30f4610ea07be</t>
  </si>
  <si>
    <t>56669d89eb4b14361d45090f</t>
  </si>
  <si>
    <t>53e442474497c57e900d7c64</t>
  </si>
  <si>
    <t>5a698cef028bbd27227d3d12</t>
  </si>
  <si>
    <t>5dda40561fead208515f98e2</t>
  </si>
  <si>
    <t>582d5286168b54404ec5ecf2</t>
  </si>
  <si>
    <t>5902b4eab3e322098d3b41eb</t>
  </si>
  <si>
    <t>5a9d135128a2b361c3491a1e</t>
  </si>
  <si>
    <t>585037af728de662411bd39a</t>
  </si>
  <si>
    <t>5832e5632f5e534c23488f06</t>
  </si>
  <si>
    <t>58a3db5e05b2f9716d029e30</t>
  </si>
  <si>
    <t>58da4490933abf52ad547200</t>
  </si>
  <si>
    <t>57b17fcc4249277b5ad99206</t>
  </si>
  <si>
    <t>5a0d2c3e68788b4400878642</t>
  </si>
  <si>
    <t>5bd29797d32ed5241007af46</t>
  </si>
  <si>
    <t>5b507899ab577736508a0782</t>
  </si>
  <si>
    <t>5eb50ff17041111c43033565</t>
  </si>
  <si>
    <t>58fdedf645f9b210f58c00cc</t>
  </si>
  <si>
    <t>5e5f6272d0e9af054214467e</t>
  </si>
  <si>
    <t>5e3683005ba64b1957b798cc</t>
  </si>
  <si>
    <t>5d50fb2b1d9a8e23e3334c81</t>
  </si>
  <si>
    <t>5609de679b11090d3bafce69</t>
  </si>
  <si>
    <t>56c2e30edf108f11548c6dcb</t>
  </si>
  <si>
    <t>5aec1dd2c96bb815b802df67</t>
  </si>
  <si>
    <t>5eb5076129e786048168034d</t>
  </si>
  <si>
    <t>593aa1956a74d26d7914a7e4</t>
  </si>
  <si>
    <t>5d415665838897104cf4003d</t>
  </si>
  <si>
    <t>58ff6866e17bc0302f540b50</t>
  </si>
  <si>
    <t>596d9a4937635d7622a6c7f6</t>
  </si>
  <si>
    <t>5d4e91681d9a8e1fcc2fefba</t>
  </si>
  <si>
    <t>5ba08911269570054ba2b669</t>
  </si>
  <si>
    <t>583beacf24b24f1b805ff7a2</t>
  </si>
  <si>
    <t>5514d13ce87fd21cf12f9d0b</t>
  </si>
  <si>
    <t>5406c9c77f086e1be430d73e</t>
  </si>
  <si>
    <t>569f3031b3d90139e3c5a407</t>
  </si>
  <si>
    <t>5837b0dc751d4d1b6e319c73</t>
  </si>
  <si>
    <t>55ed4e573a698c3a9daa8b2b</t>
  </si>
  <si>
    <t>58c2318d3f49634886892d7c</t>
  </si>
  <si>
    <t>5950dd272eac1127e00c4883</t>
  </si>
  <si>
    <t>5b767f37f54e4f1434671cc8</t>
  </si>
  <si>
    <t>584c23fbef56286074d2c9a6</t>
  </si>
  <si>
    <t>58ad356108de0c6dc39d979d</t>
  </si>
  <si>
    <t>582c712cae088637843348a5</t>
  </si>
  <si>
    <t>5d3bc9f8e13a7e654424a4cb</t>
  </si>
  <si>
    <t>567bad8582c35f28103e5813</t>
  </si>
  <si>
    <t>54f804901c36ca266909d090</t>
  </si>
  <si>
    <t>56f0f2bdc3c3715871ade946</t>
  </si>
  <si>
    <t>5acdb384ccf0c86f34c5d539</t>
  </si>
  <si>
    <t>58fde9517c09181253b0ef86</t>
  </si>
  <si>
    <t>5b6935c0a1fdaa1dba5a4cd4</t>
  </si>
  <si>
    <t>58a99ceca65ebc504a6ebf1e</t>
  </si>
  <si>
    <t>58be502223167e61443f4d92</t>
  </si>
  <si>
    <t>5d4b8931933fb13f8a1fe232</t>
  </si>
  <si>
    <t>5e61e5580705ac039c94c08f</t>
  </si>
  <si>
    <t>597767f6171974220c25560a</t>
  </si>
  <si>
    <t>55542b4b662da7114d591723</t>
  </si>
  <si>
    <t>5b420ce3d9b2a4418b74ae31</t>
  </si>
  <si>
    <t>53a2a09ad91139519161a267</t>
  </si>
  <si>
    <t>55cc4e1d845591103477a561</t>
  </si>
  <si>
    <t>5b29ff427752c84390ed6ecf</t>
  </si>
  <si>
    <t>5d52278327752b029793c927</t>
  </si>
  <si>
    <t>5ae6dab8b125ab6825502d06</t>
  </si>
  <si>
    <t>57b03628c676b3573ba2a081</t>
  </si>
  <si>
    <t>5a17b55d1f4d8c4f0b44b0ce</t>
  </si>
  <si>
    <t>5b6bb9c8dd0d902d18928318</t>
  </si>
  <si>
    <t>5d44cb7ea5f07b2d00607909</t>
  </si>
  <si>
    <t>55cc3e5f845591103477a2f8</t>
  </si>
  <si>
    <t>5b1522ab7b94e12ee3d455c9</t>
  </si>
  <si>
    <t>5abf36d540626a753e8fc18a</t>
  </si>
  <si>
    <t>5860c757b1e41d4d67d183e8</t>
  </si>
  <si>
    <t>5d58d3b433f0b4349bbe941f</t>
  </si>
  <si>
    <t>56455b13b15aab129db58cb7</t>
  </si>
  <si>
    <t>57fc688ffcd3bb1955cb6f31</t>
  </si>
  <si>
    <t>5d5a520c560eca48d7f140eb</t>
  </si>
  <si>
    <t>5df1cd2ecce7510b506fdba5</t>
  </si>
  <si>
    <t>571b38e66c39b141b1ad43e1</t>
  </si>
  <si>
    <t>5b14bc7ddaac4575492a01c5</t>
  </si>
  <si>
    <t>5aa78a0c75599a5bd049d682</t>
  </si>
  <si>
    <t>5939085087117919c6f12a77</t>
  </si>
  <si>
    <t>544867549719cd33de1048d5</t>
  </si>
  <si>
    <t>561921dd9342a274cb448c07</t>
  </si>
  <si>
    <t>582b156ff6872e749e4d1ad4</t>
  </si>
  <si>
    <t>5d5e064b560eca4814b2bb74</t>
  </si>
  <si>
    <t>56ab21890d8dad10e044b9ec</t>
  </si>
  <si>
    <t>56cd7070df108f481ff3e00e</t>
  </si>
  <si>
    <t>5aae608bdb5f1f42a93eaaed</t>
  </si>
  <si>
    <t>5e748f2484068a0289ab6f9f</t>
  </si>
  <si>
    <t>5ae29b4e1baafe7c0109c5ae</t>
  </si>
  <si>
    <t>56c6a33fabb774437118cd63</t>
  </si>
  <si>
    <t>5826f19f20a9402c37313979</t>
  </si>
  <si>
    <t>5e8c98966642021100f8db13</t>
  </si>
  <si>
    <t>58778fdcdfa6bc28858f3422</t>
  </si>
  <si>
    <t>5adef67640626a4b409b8e94</t>
  </si>
  <si>
    <t>57a155a4b63950286426744f</t>
  </si>
  <si>
    <t>593402ae25c4f54ed4e0abdf</t>
  </si>
  <si>
    <t>5770ca6694fc5029d02c368a</t>
  </si>
  <si>
    <t>59c25e6a30e1f368ea189232</t>
  </si>
  <si>
    <t>5673acd9c1a80060fb201026</t>
  </si>
  <si>
    <t>5e8ad4c829e7860d8e20b40c</t>
  </si>
  <si>
    <t>583658e928f25754106ae102</t>
  </si>
  <si>
    <t>5aab3c8ea6bf7a704caec65c</t>
  </si>
  <si>
    <t>583547f417dc6224cb464117</t>
  </si>
  <si>
    <t>54236fbbf6d29616559514c9</t>
  </si>
  <si>
    <t>5641e263906c9c12737e6725</t>
  </si>
  <si>
    <t>53e98c6446188e1d4d3a38bd</t>
  </si>
  <si>
    <t>577f79f928d95d5777eac030</t>
  </si>
  <si>
    <t>5829d1ca96db262f04db2063</t>
  </si>
  <si>
    <t>5d464f4a56a26046dd1bb8a4</t>
  </si>
  <si>
    <t>5495976a40b3782bc8b3654a</t>
  </si>
  <si>
    <t>55d18ce6183a5d103f970011</t>
  </si>
  <si>
    <t>5b80fee2008a3e2f6ec81563</t>
  </si>
  <si>
    <t>5541ba455252290c0b225b1f</t>
  </si>
  <si>
    <t>5a031e9c9aee09542077d074</t>
  </si>
  <si>
    <t>593fcbd5ff3e807d6a8485ff</t>
  </si>
  <si>
    <t>5e5cb2f077179e1ac07004a2</t>
  </si>
  <si>
    <t>58475ecf5eee8869e4ad9a07</t>
  </si>
  <si>
    <t>54869cf344a28275e008fb00</t>
  </si>
  <si>
    <t>56d813f66d64ff168ab1bfac</t>
  </si>
  <si>
    <t>5eb4be68dda5360c58501b42</t>
  </si>
  <si>
    <t>584ae0173961b64ca9b426b1</t>
  </si>
  <si>
    <t>5eb91502c48732293d0a8e08</t>
  </si>
  <si>
    <t>565c1b173a698c769e2be15d</t>
  </si>
  <si>
    <t>5dab9ece69ce753090f6735c</t>
  </si>
  <si>
    <t>5ad4325e9bda4e08bf7fd188</t>
  </si>
  <si>
    <t>5440e3d7f8abc82cbd97b19c</t>
  </si>
  <si>
    <t>56fba259138ef73c2a749a56</t>
  </si>
  <si>
    <t>5b52ea49b56d05463d973207</t>
  </si>
  <si>
    <t>597eda458696be7dab480a44</t>
  </si>
  <si>
    <t>5e8d923d20c9b7545017f1f9</t>
  </si>
  <si>
    <t>57b1288be4830507cc9f586a</t>
  </si>
  <si>
    <t>5ad6ddb822fad74c8ed3fa3a</t>
  </si>
  <si>
    <t>5aea8f2ccac3c5238de1a99c</t>
  </si>
  <si>
    <t>53e03f56ff4d6d36d2285ab0</t>
  </si>
  <si>
    <t>5b66b2f303523d3caa84aed5</t>
  </si>
  <si>
    <t>58748c070e230b22a1ab5bc2</t>
  </si>
  <si>
    <t>575a9d8d6813ab5ceeb09521</t>
  </si>
  <si>
    <t>59cc8ef5776ab943e535b888</t>
  </si>
  <si>
    <t>59815a929fbc512d72137ba5</t>
  </si>
  <si>
    <t>5780c6b2e8aa893157a3286f</t>
  </si>
  <si>
    <t>5c7dee45a0e257512a5dd7f0</t>
  </si>
  <si>
    <t>5eba4507ad610e0589cab8c3</t>
  </si>
  <si>
    <t>5eba4bab58ed6ba265685ba1</t>
  </si>
  <si>
    <t>5b47ffa01e5bc91f3eea4f1f</t>
  </si>
  <si>
    <t>55e51e53c9f8235d17759948</t>
  </si>
  <si>
    <t>5860cf7b0929fc4d76180aed</t>
  </si>
  <si>
    <t>58216982dd9916453fe2d1a1</t>
  </si>
  <si>
    <t>59c0e0168696be51cef38e93</t>
  </si>
  <si>
    <t>5406cabdc5c2464980dc6314</t>
  </si>
  <si>
    <t>58d12c00b9d9d6505a44c4e6</t>
  </si>
  <si>
    <t>5ba8dffeb2f5b12221c73576</t>
  </si>
  <si>
    <t>583edf165022c71b82d1d6c7</t>
  </si>
  <si>
    <t>576bbb443a698c085103c010</t>
  </si>
  <si>
    <t>544e3da38edcfa4c456f6181</t>
  </si>
  <si>
    <t>590189980094b829518713b8</t>
  </si>
  <si>
    <t>55f7c64b3a698c4749f3bccf</t>
  </si>
  <si>
    <t>5810aa5bde5bf01b645c909e</t>
  </si>
  <si>
    <t>5b658cbebc3b221445ba1440</t>
  </si>
  <si>
    <t>5bdbb9048a83b5678f43462b</t>
  </si>
  <si>
    <t>59538508e81e8a67610d9c8b</t>
  </si>
  <si>
    <t>5e675a4b48763f1940d6ab3b</t>
  </si>
  <si>
    <t>5448701f90c77609a237f99f</t>
  </si>
  <si>
    <t>5a54add17dee4a20b31ef567</t>
  </si>
  <si>
    <t>58d9f311fe9cae52ce0213ec</t>
  </si>
  <si>
    <t>5ad02d61ccf0c866db06b8c9</t>
  </si>
  <si>
    <t>52bd3ddb34067e4620a4c62d</t>
  </si>
  <si>
    <t>5bd0a13aa8f4bb2739445be4</t>
  </si>
  <si>
    <t>53facca81c105e3d5866e212</t>
  </si>
  <si>
    <t>5b235f8ad1c3603c027fdcda</t>
  </si>
  <si>
    <t>583512a3b63b3b249b0acc46</t>
  </si>
  <si>
    <t>570d017b1b4ca758e18e407d</t>
  </si>
  <si>
    <t>58d3828699637874f89eb45a</t>
  </si>
  <si>
    <t>5d4b891183889735374d3c88</t>
  </si>
  <si>
    <t>569f632ed5f0840dda331a97</t>
  </si>
  <si>
    <t>58008d25047bed1ad1940bff</t>
  </si>
  <si>
    <t>5b08f027c2586968afffb44f</t>
  </si>
  <si>
    <t>55769de4fa0be7249554bce2</t>
  </si>
  <si>
    <t>591c4e7f1a071f13df7a63ff</t>
  </si>
  <si>
    <t>5e71bc2ff2bef60050bd3a86</t>
  </si>
  <si>
    <t>5d51381f933fb16c06bb9d71</t>
  </si>
  <si>
    <t>5aed66b2f0b75f35a1bd6615</t>
  </si>
  <si>
    <t>5ac1db0a1c256d3bd25188f4</t>
  </si>
  <si>
    <t>58c921126c30436b692b1ead</t>
  </si>
  <si>
    <t>565c13ad389b9b2df29caa32</t>
  </si>
  <si>
    <t>5acc6cc0c3911a32ad141f60</t>
  </si>
  <si>
    <t>56d572b08ec6660796b65705</t>
  </si>
  <si>
    <t>56cc2ea09879a4136344cf49</t>
  </si>
  <si>
    <t>53e4bb20ff4d6d1b68bdb6d1</t>
  </si>
  <si>
    <t>53aa664438d3046ee44a5024</t>
  </si>
  <si>
    <t>53208a086fa88c662a693514</t>
  </si>
  <si>
    <t>57adc71ab0960b039817e137</t>
  </si>
  <si>
    <t>5d5abf5b33f0b44411c05032</t>
  </si>
  <si>
    <t>5620c3b23a698c4bc7d17e8c</t>
  </si>
  <si>
    <t>583d245d0d44637eb04d1c8f</t>
  </si>
  <si>
    <t>56db028b3a9cb801c374b3c6</t>
  </si>
  <si>
    <t>545c2b1790c776172b72d5ab</t>
  </si>
  <si>
    <t>57fde031235aaa1926afe803</t>
  </si>
  <si>
    <t>55af776cc982de2775ba26d2</t>
  </si>
  <si>
    <t>542a670d4f66d92eba599455</t>
  </si>
  <si>
    <t>5384613a796f680f9d78a127</t>
  </si>
  <si>
    <t>5b13817f0128754174259044</t>
  </si>
  <si>
    <t>56e43d9e3a698c3826a5feff</t>
  </si>
  <si>
    <t>5788dc8d88eb7a2e8a04b1b2</t>
  </si>
  <si>
    <t>5e70afae21861a90a4e6b7f0</t>
  </si>
  <si>
    <t>5ae2d62f2c49564f1df9bbd1</t>
  </si>
  <si>
    <t>5e4f6a3a29e786346774bcce</t>
  </si>
  <si>
    <t>56c55a76cce1893c1b8a1716</t>
  </si>
  <si>
    <t>57864d704d669274929898fb</t>
  </si>
  <si>
    <t>570b68b9e902df590e48d196</t>
  </si>
  <si>
    <t>58b81d56e3f66d59b36812ac</t>
  </si>
  <si>
    <t>5e4f81dc968c88593150e98e</t>
  </si>
  <si>
    <t>582ff94e0d44631042fe7c41</t>
  </si>
  <si>
    <t>5e50e6b968f8f90ec04531bf</t>
  </si>
  <si>
    <t>5aad329608a224392d805720</t>
  </si>
  <si>
    <t>583141fbfef4094e51453d9b</t>
  </si>
  <si>
    <t>58160e10f870301b4bff64fc</t>
  </si>
  <si>
    <t>57ee5f0025e7c00ffe3f000c</t>
  </si>
  <si>
    <t>5b2604207b94e16c00375350</t>
  </si>
  <si>
    <t>595f3d28ce4e69232af53c32</t>
  </si>
  <si>
    <t>5938e6a17fe241506f93503b</t>
  </si>
  <si>
    <t>5950d54a4b913a1174a7ae6d</t>
  </si>
  <si>
    <t>5dd790db4cc6678b7441ba5d</t>
  </si>
  <si>
    <t>58402f95e24c5b06c6dccd35</t>
  </si>
  <si>
    <t>580595bda46fa31f93d83357</t>
  </si>
  <si>
    <t>5d46751876befe56001de246</t>
  </si>
  <si>
    <t>563a19d1f75382101530dc15</t>
  </si>
  <si>
    <t>56a9df1b3a698c526f769805</t>
  </si>
  <si>
    <t>59f868d0eea5c51c2167d097</t>
  </si>
  <si>
    <t>5a9e3a01ccf0c80c2d372870</t>
  </si>
  <si>
    <t>58131ddf6f55296033923a7c</t>
  </si>
  <si>
    <t>5addba5481260b1ddfffe5a3</t>
  </si>
  <si>
    <t>58ffff331a1cef16a78c78f4</t>
  </si>
  <si>
    <t>5abb2cf26be8733b5bf6844f</t>
  </si>
  <si>
    <t>57875ba40cb30d38ba46f57d</t>
  </si>
  <si>
    <t>540ec1f21d2d431f2d4b5cb6</t>
  </si>
  <si>
    <t>584a9e7421390e4cb68dec18</t>
  </si>
  <si>
    <t>5498115d653d5121ae5409c9</t>
  </si>
  <si>
    <t>5963882dd9b42511248ca27d</t>
  </si>
  <si>
    <t>58e4a53ce070a80f9180685a</t>
  </si>
  <si>
    <t>58a6971e0e16e97a6636a1b8</t>
  </si>
  <si>
    <t>57086fd7fa6bee434d0e5852</t>
  </si>
  <si>
    <t>5831ae002f5e534c0a485f06</t>
  </si>
  <si>
    <t>5667c747eb4b140fe963ba77</t>
  </si>
  <si>
    <t>59a54d5eae228e4f11e9c5e0</t>
  </si>
  <si>
    <t>5e6910549145adc9f7972fac</t>
  </si>
  <si>
    <t>565973368f5f027e14060846</t>
  </si>
  <si>
    <t>556d0dc2c00cd721cce30dd1</t>
  </si>
  <si>
    <t>5acf2091cd968d299afe79a3</t>
  </si>
  <si>
    <t>58f6f47891a95f10f0c54b8c</t>
  </si>
  <si>
    <t>52838e612dcc6469fa2d7104</t>
  </si>
  <si>
    <t>57c4dd2ce2a1b61c74c4265a</t>
  </si>
  <si>
    <t>58d8e8ebd929c652b9c04c05</t>
  </si>
  <si>
    <t>5742c706d75bc459506b80f1</t>
  </si>
  <si>
    <t>57885a8c090d40723d2105e3</t>
  </si>
  <si>
    <t>5d5008cb1d9a8e750032d31b</t>
  </si>
  <si>
    <t>5b083a8b7e43f23f2e16cbd6</t>
  </si>
  <si>
    <t>585f9ac5d7d14e4d51c16d4e</t>
  </si>
  <si>
    <t>5b722effbfb77d14812b8c2c</t>
  </si>
  <si>
    <t>5a14dbb27dee4a2da907bddb</t>
  </si>
  <si>
    <t>5a17bb048cf0ed37ca9e18bc</t>
  </si>
  <si>
    <t>54922e98223ebf6980220266</t>
  </si>
  <si>
    <t>5aacd6c1ccf0c83e5a6f3de0</t>
  </si>
  <si>
    <t>5d55015e3cc46d5c40a15c19</t>
  </si>
  <si>
    <t>596b4085d4cc34162e778769</t>
  </si>
  <si>
    <t>53db691bd911395c8b2f92be</t>
  </si>
  <si>
    <t>58ad74688a58e150335088ce</t>
  </si>
  <si>
    <t>58a3f270e269ee522580e6bb</t>
  </si>
  <si>
    <t>5512b0d98e8def07a462e1d7</t>
  </si>
  <si>
    <t>587dd9a883eee74e06b30974</t>
  </si>
  <si>
    <t>59c7610621064f2f6c8c9fe7</t>
  </si>
  <si>
    <t>55dc6b85f51bf838d3e3dcc2</t>
  </si>
  <si>
    <t>59aaa4d39fbc514dc80328e3</t>
  </si>
  <si>
    <t>5c7893301bcc452c015b5de4</t>
  </si>
  <si>
    <t>5af917558699ce1103dd6010</t>
  </si>
  <si>
    <t>59506bd1abea9119a059422d</t>
  </si>
  <si>
    <t>58dfa91e42ab0953f96d31d0</t>
  </si>
  <si>
    <t>564d8f2f3a698c01d97fbb81</t>
  </si>
  <si>
    <t>58d64937794a2b6db2f0394e</t>
  </si>
  <si>
    <t>579f12b73087c40f57abcd3d</t>
  </si>
  <si>
    <t>5af54e838699ce1143d1f876</t>
  </si>
  <si>
    <t>58d3cd3b773e9257cc5b990a</t>
  </si>
  <si>
    <t>5d46ce1a8388976d8c042c39</t>
  </si>
  <si>
    <t>567a54fe7071ec7e12a1494e</t>
  </si>
  <si>
    <t>5c74e493a0e25750b550e2a1</t>
  </si>
  <si>
    <t>589e67aa3205e17175ced38e</t>
  </si>
  <si>
    <t>555f4174a4efd10ea5ebaa5f</t>
  </si>
  <si>
    <t>5ae7cee3a71fbf0725de5d43</t>
  </si>
  <si>
    <t>5646025ecb3a45127928c032</t>
  </si>
  <si>
    <t>55d480c092e9ba1242bd816a</t>
  </si>
  <si>
    <t>59b38b9d0ec30f3dcde27914</t>
  </si>
  <si>
    <t>5b24b6bdd1c3601ba899f0c0</t>
  </si>
  <si>
    <t>5e4bb29957cc9b46d2e498f7</t>
  </si>
  <si>
    <t>568b82677f5cdb26abff2f9a</t>
  </si>
  <si>
    <t>59dc769133a48743534ac5c7</t>
  </si>
  <si>
    <t>582ff4f70299bc4f4b90d203</t>
  </si>
  <si>
    <t>561dc58d1f1ffb54d008b82f</t>
  </si>
  <si>
    <t>58d10bee24f9f96bdbe80fb6</t>
  </si>
  <si>
    <t>58dceeb2a6d6757401114dfd</t>
  </si>
  <si>
    <t>5898240369b8584f668a188b</t>
  </si>
  <si>
    <t>5e0b55766a4343d3823c7215</t>
  </si>
  <si>
    <t>5d413afa0ff7f947c0e21025</t>
  </si>
  <si>
    <t>586e70187e94384d6fc17f14</t>
  </si>
  <si>
    <t>5b4d6eb88a5b7b24519e69ad</t>
  </si>
  <si>
    <t>5bde9444a53011739fbde291</t>
  </si>
  <si>
    <t>58380161e18c0f0c70dd6907</t>
  </si>
  <si>
    <t>5d42991670327a71301ec76e</t>
  </si>
  <si>
    <t>58b92804935861529969e778</t>
  </si>
  <si>
    <t>537975ab71795104807b06b4</t>
  </si>
  <si>
    <t>5d3e6e0ce13a7e7ae9f35f74</t>
  </si>
  <si>
    <t>5803772d4dcf7942d7280c39</t>
  </si>
  <si>
    <t>59a2e74a8696be0eeb7a7ba9</t>
  </si>
  <si>
    <t>570ceafac277d445e3cbebe5</t>
  </si>
  <si>
    <t>5d3aa36072b0c915fe6b8fbd</t>
  </si>
  <si>
    <t>5d4a717070327a03c1e7644e</t>
  </si>
  <si>
    <t>5d513ddf1d9a8e239c347192</t>
  </si>
  <si>
    <t>5a72e56d9d5e975657c1460a</t>
  </si>
  <si>
    <t>58314fcb7284901b7ca0d358</t>
  </si>
  <si>
    <t>5819eb90d3d4474ddf97b23e</t>
  </si>
  <si>
    <t>58330d7def56284f7634e5e5</t>
  </si>
  <si>
    <t>5925555b2cd9447854443c41</t>
  </si>
  <si>
    <t>5e537a4038654d5bb8db71b4</t>
  </si>
  <si>
    <t>56da85f4df108f268b4a6618</t>
  </si>
  <si>
    <t>553c93bcd57a0156022b1598</t>
  </si>
  <si>
    <t>5b0a66907752c8567c3cc671</t>
  </si>
  <si>
    <t>5953816a9579d81e5edcc3d7</t>
  </si>
  <si>
    <t>59df389c88dd76239f03c701</t>
  </si>
  <si>
    <t>5d46d6fd4c78550b43ab8351</t>
  </si>
  <si>
    <t>591a999d1a071f7e40e984a4</t>
  </si>
  <si>
    <t>5b24edf0d1c360301099e9c6</t>
  </si>
  <si>
    <t>59a6cc4b21064f78b1bef62f</t>
  </si>
  <si>
    <t>56dd52e8e0a234169b46c4ca</t>
  </si>
  <si>
    <t>5ad7066e1b98df3e558530a6</t>
  </si>
  <si>
    <t>5e63469b2fdc774466e15dd5</t>
  </si>
  <si>
    <t>586fbd8b8c30e82bdcce557d</t>
  </si>
  <si>
    <t>5833f721e18c0f15d659a8ed</t>
  </si>
  <si>
    <t>5a40bd3812fa1c2c21498ea7</t>
  </si>
  <si>
    <t>57aeb5fb5a4ac218de83b64d</t>
  </si>
  <si>
    <t>5a20c64d8cf0ed4d57d60471</t>
  </si>
  <si>
    <t>5b0fa1b72c3c1d2abb34f1a4</t>
  </si>
  <si>
    <t>5e2ecb9deed5087a7ba2f5f7</t>
  </si>
  <si>
    <t>5542fcb264b4f014ce88ecae</t>
  </si>
  <si>
    <t>5bbf00e6c5fdec1c0e0d401d</t>
  </si>
  <si>
    <t>589eb1c33205e17175cee2ee</t>
  </si>
  <si>
    <t>5885a7e767f7c84d7657d220</t>
  </si>
  <si>
    <t>581c54c4dd99164b808ca531</t>
  </si>
  <si>
    <t>559f4066577ce11970f7f7fa</t>
  </si>
  <si>
    <t>5e4f330366b9710ecfaff138</t>
  </si>
  <si>
    <t>58fcdd56cdb8e24565cc017e</t>
  </si>
  <si>
    <t>58c35950e2de036da9e2b570</t>
  </si>
  <si>
    <t>594756ab53ebe27caad41157</t>
  </si>
  <si>
    <t>59510a44905fdb0b8266ddc5</t>
  </si>
  <si>
    <t>5b99f68520019041167b0b74</t>
  </si>
  <si>
    <t>5810a3d4a70e0356e24d3c6c</t>
  </si>
  <si>
    <t>59c86bce67e9be6f9da5cb03</t>
  </si>
  <si>
    <t>55419b79439bb51755098f63</t>
  </si>
  <si>
    <t>57ee6909567a8d101913df98</t>
  </si>
  <si>
    <t>5aa5d06da6bf7a7f7285bc0e</t>
  </si>
  <si>
    <t>5a5f153e430b71500d87877c</t>
  </si>
  <si>
    <t>5d3d0c2c4b4fdb2f38b5e54d</t>
  </si>
  <si>
    <t>58d25a160490dc52e34022e7</t>
  </si>
  <si>
    <t>5808e2beff6c57435af7df2d</t>
  </si>
  <si>
    <t>58cf7224712870506c44edd9</t>
  </si>
  <si>
    <t>57f7b4a3bc506d1e56530cdd</t>
  </si>
  <si>
    <t>5787268541b5257c73d0132f</t>
  </si>
  <si>
    <t>59797d8e439a9870104928a1</t>
  </si>
  <si>
    <t>58d0c52c19bf8b6b34178db0</t>
  </si>
  <si>
    <t>58481b8e728de666bd5b925f</t>
  </si>
  <si>
    <t>587f85cbb8038f4cb049c56c</t>
  </si>
  <si>
    <t>5853b96be788110ac30168b9</t>
  </si>
  <si>
    <t>5b8deaae2eb51f6d30ff9a3d</t>
  </si>
  <si>
    <t>56d6cf588bd26e03ee663123</t>
  </si>
  <si>
    <t>5848298b68eb84699231b1f2</t>
  </si>
  <si>
    <t>596636724b913a6954556581</t>
  </si>
  <si>
    <t>5695ee973fa51e32deafd9c9</t>
  </si>
  <si>
    <t>5e606b6e29e7867135073fbe</t>
  </si>
  <si>
    <t>582c4556ef562807126df946</t>
  </si>
  <si>
    <t>5ba0fe4673d934503a6cb6ad</t>
  </si>
  <si>
    <t>57a995f564fa71286bac2109</t>
  </si>
  <si>
    <t>5d5f4780bd01a83fca39e0db</t>
  </si>
  <si>
    <t>5d3d417070327a201bfcd655</t>
  </si>
  <si>
    <t>596c927e94158579f28517e3</t>
  </si>
  <si>
    <t>565c293d99558d1ed8ae7fb2</t>
  </si>
  <si>
    <t>5e9c44cdf5b57cfb27118f62</t>
  </si>
  <si>
    <t>53ad2f5a46188e43c8b6bef6</t>
  </si>
  <si>
    <t>5960922537635d7e09b47c1d</t>
  </si>
  <si>
    <t>53994751796f684b7f2193b5</t>
  </si>
  <si>
    <t>57d64f7bcafd22102c3a5fc2</t>
  </si>
  <si>
    <t>5e5dec4430477e47e6838d5d</t>
  </si>
  <si>
    <t>582872761004352e57ee38a1</t>
  </si>
  <si>
    <t>59a8267535e73b1fe45b702e</t>
  </si>
  <si>
    <t>57568f454054c95cbd8d1619</t>
  </si>
  <si>
    <t>5dc3de943710b9143904fdd9</t>
  </si>
  <si>
    <t>556425de56aea60ea1d17778</t>
  </si>
  <si>
    <t>570e15d2a18a3f5bc5285b9d</t>
  </si>
  <si>
    <t>5972058b439a9828e425dd78</t>
  </si>
  <si>
    <t>584bcf7bfef409603f39b619</t>
  </si>
  <si>
    <t>5d676dae88a10253b1781da6</t>
  </si>
  <si>
    <t>5864767762a1e84ca30df7c9</t>
  </si>
  <si>
    <t>585a8e9a7b78704cd251a232</t>
  </si>
  <si>
    <t>550bed073fca100d87116858</t>
  </si>
  <si>
    <t>5700e7eac1bed1088d6cd40a</t>
  </si>
  <si>
    <t>5de7643c8db42003000ba7f1</t>
  </si>
  <si>
    <t>58c214fd95dc43508c12899c</t>
  </si>
  <si>
    <t>58cf8bc8375c92523736b540</t>
  </si>
  <si>
    <t>598da748b7717348ffeaf02c</t>
  </si>
  <si>
    <t>5947799a2eac1104f22e4486</t>
  </si>
  <si>
    <t>5b3ed8fa22856f198f7f0a88</t>
  </si>
  <si>
    <t>5dc40e313710b91b0f04fcc5</t>
  </si>
  <si>
    <t>5440df5815133758cf40f1e3</t>
  </si>
  <si>
    <t>5d41a75de13a7e2059f79277</t>
  </si>
  <si>
    <t>57d67d2bb1adb8102d39f90f</t>
  </si>
  <si>
    <t>5e536247397cba46c3111a39</t>
  </si>
  <si>
    <t>57383b023a698c3a936ce406</t>
  </si>
  <si>
    <t>5b07dc937752c81ecb291b66</t>
  </si>
  <si>
    <t>5d4a55b21d9a8e4a02843479</t>
  </si>
  <si>
    <t>57fcc26f1c813a50b2a86956</t>
  </si>
  <si>
    <t>5ad31267ea8764621df718c0</t>
  </si>
  <si>
    <t>57e5db02e7f40f131adeeaf8</t>
  </si>
  <si>
    <t>58db59f4e40cc66d2bda1bc0</t>
  </si>
  <si>
    <t>54125ab34ad3ab158c0f72d9</t>
  </si>
  <si>
    <t>5d3be81670327a1a4ffce08e</t>
  </si>
  <si>
    <t>559f372b577ce1196ef7f66c</t>
  </si>
  <si>
    <t>570b67d4a9dc12590be93b79</t>
  </si>
  <si>
    <t>5784d339e8aa8938977fefd0</t>
  </si>
  <si>
    <t>557ac6650a43e41ba218240a</t>
  </si>
  <si>
    <t>5a3ccf7f028bbd773f938596</t>
  </si>
  <si>
    <t>5e54a05c207f9d3e6cee7040</t>
  </si>
  <si>
    <t>5a9cfdb4ccf0c85918542fdd</t>
  </si>
  <si>
    <t>59aebfa350df6107c1eff8c8</t>
  </si>
  <si>
    <t>5dc69ae4c4e6e61846dfc2b4</t>
  </si>
  <si>
    <t>58061170aa46c6195c12950b</t>
  </si>
  <si>
    <t>5ae3d438c1d5187ae0dcea90</t>
  </si>
  <si>
    <t>590f2995f3d19c2cba264414</t>
  </si>
  <si>
    <t>5873347af1f65d4d61b69b1a</t>
  </si>
  <si>
    <t>5961d4e6905fdb5a6f505cd3</t>
  </si>
  <si>
    <t>56effd3864d54a58a619bdb1</t>
  </si>
  <si>
    <t>5d463c87c77e983f28b4dfca</t>
  </si>
  <si>
    <t>5466f5ea1280fa5c9c7ba98e</t>
  </si>
  <si>
    <t>5858d328e18c0f7603a08e1f</t>
  </si>
  <si>
    <t>5e0474f81b1677050990d11b</t>
  </si>
  <si>
    <t>5d54bec47ad242761d84984d</t>
  </si>
  <si>
    <t>555bf637b0213719da7229df</t>
  </si>
  <si>
    <t>597ff85721064f2607e253e9</t>
  </si>
  <si>
    <t>5778fd153a698c5c2d845ed9</t>
  </si>
  <si>
    <t>5ba9af0fef66004cac1013f7</t>
  </si>
  <si>
    <t>57d904168172661fe3b3256a</t>
  </si>
  <si>
    <t>5ae2d056b125ab5424320fc1</t>
  </si>
  <si>
    <t>5ad16178db5f1f07107a5401</t>
  </si>
  <si>
    <t>59b29ff23eb22a1355606548</t>
  </si>
  <si>
    <t>5b5a8a32f114fc2a4ca301d3</t>
  </si>
  <si>
    <t>54068c667a9eb466313c6ebf</t>
  </si>
  <si>
    <t>5528e31e43a8db0c29241cd1</t>
  </si>
  <si>
    <t>590d6c356815062709f1b06c</t>
  </si>
  <si>
    <t>59b0dcac50df61071d239b12</t>
  </si>
  <si>
    <t>589ae185ad330a4feb2b6dd5</t>
  </si>
  <si>
    <t>5832a8766945cb1c96d3e2d8</t>
  </si>
  <si>
    <t>53f2db3c104dae6bcae0c271</t>
  </si>
  <si>
    <t>57e00221b8115e1061a6f6d0</t>
  </si>
  <si>
    <t>5857e83a1e95514d46b046dd</t>
  </si>
  <si>
    <t>580dd6425250a21944205a36</t>
  </si>
  <si>
    <t>5d4e5b8415275446cdad4fbb</t>
  </si>
  <si>
    <t>5c80bd2ab1ad6a6fc52a7eb3</t>
  </si>
  <si>
    <t>5357bcf2bb72c5504882e889</t>
  </si>
  <si>
    <t>54898f4c223ebf1cd713fdc2</t>
  </si>
  <si>
    <t>59e70d8ceea5c546fa152f42</t>
  </si>
  <si>
    <t>5e548120207f9d0685eec2ea</t>
  </si>
  <si>
    <t>5acdbf7c9c15ff7191aadd30</t>
  </si>
  <si>
    <t>5d4784dd56a260398c1bc597</t>
  </si>
  <si>
    <t>5b4973b049c8e64e07c31cb4</t>
  </si>
  <si>
    <t>5938c5a58e5b2e6601f01c6f</t>
  </si>
  <si>
    <t>566e97ca39cce4269637a261</t>
  </si>
  <si>
    <t>598429c3947e4119b7bec1c0</t>
  </si>
  <si>
    <t>53c62f6b46188e177eb57b6d</t>
  </si>
  <si>
    <t>5b8d343e133368366f2dff48</t>
  </si>
  <si>
    <t>58f8681a29867d1118cb0964</t>
  </si>
  <si>
    <t>5dbe8b3a0140ee444c50ec2b</t>
  </si>
  <si>
    <t>59bcfadb776ab96ae984be82</t>
  </si>
  <si>
    <t>58db84154f0c6b53626b73ac</t>
  </si>
  <si>
    <t>5dda41a275cf541cc0b6cf99</t>
  </si>
  <si>
    <t>5948c9761f2f0f2efb675fa4</t>
  </si>
  <si>
    <t>56d954c8d30d44338d07e50a</t>
  </si>
  <si>
    <t>5489a2fe546ead1ec9215829</t>
  </si>
  <si>
    <t>5a13e07c5d6f342d64b51237</t>
  </si>
  <si>
    <t>5577b101429aa92940bc33e7</t>
  </si>
  <si>
    <t>5d7c4cc361090057c2bc7331</t>
  </si>
  <si>
    <t>547bfcda3dabbe37af5818b1</t>
  </si>
  <si>
    <t>58539804afa5ec4cae2cdce8</t>
  </si>
  <si>
    <t>58da49c92c3a8f52a755d4a0</t>
  </si>
  <si>
    <t>58df45e5795cf052ae1c2142</t>
  </si>
  <si>
    <t>583998c51591454a04a79709</t>
  </si>
  <si>
    <t>587f55e57f83404d58fe59fb</t>
  </si>
  <si>
    <t>5448789898dc205017838a33</t>
  </si>
  <si>
    <t>5b7e1d0f5b299812c53e81f5</t>
  </si>
  <si>
    <t>5ad01a6a70cf6977d05013de</t>
  </si>
  <si>
    <t>58a6f41a96f1bb57840b0ed4</t>
  </si>
  <si>
    <t>59e5e353ef7b892409c6e6a7</t>
  </si>
  <si>
    <t>58285d7f168b5430c5090ab8</t>
  </si>
  <si>
    <t>5b0cd8577e43f257d4a05469</t>
  </si>
  <si>
    <t>5d594543cf65033850311c11</t>
  </si>
  <si>
    <t>5afab0f75ccdca0e69a067b8</t>
  </si>
  <si>
    <t>5684e1234c2cc826ab5ca438</t>
  </si>
  <si>
    <t>5b6bb6d7790f1a0d8a416c03</t>
  </si>
  <si>
    <t>551c02310570552bbd036dbb</t>
  </si>
  <si>
    <t>56e7bdeefdc43f585fce9122</t>
  </si>
  <si>
    <t>5b3b135e38e2640b28a557bb</t>
  </si>
  <si>
    <t>58bd1048662f70531f3962df</t>
  </si>
  <si>
    <t>587b63ed3cca004cbd02d7d3</t>
  </si>
  <si>
    <t>57773e8e7f1b5074ad85dd89</t>
  </si>
  <si>
    <t>59e071d99fbc517c29711220</t>
  </si>
  <si>
    <t>5a200757518c1c4b34845a1f</t>
  </si>
  <si>
    <t>5b71353ec8cfda2270406795</t>
  </si>
  <si>
    <t>5e535f1b397cba44cf1118d8</t>
  </si>
  <si>
    <t>5e6a5f041511dc46c06eac19</t>
  </si>
  <si>
    <t>55311a071a8a220c1b804371</t>
  </si>
  <si>
    <t>5b8e19ad9058ed22fdc30621</t>
  </si>
  <si>
    <t>54365c349719cd57af2b449b</t>
  </si>
  <si>
    <t>5466fad41280fa5ca27ba85d</t>
  </si>
  <si>
    <t>5954b765abea9167c0495382</t>
  </si>
  <si>
    <t>5d5108577ad24261ddf720f0</t>
  </si>
  <si>
    <t>585a45a3ef562825c60e0c71</t>
  </si>
  <si>
    <t>5d50f80e3db43e24767edf52</t>
  </si>
  <si>
    <t>5a018060448a526b450ddab8</t>
  </si>
  <si>
    <t>5788a55ba78e3f2dce4126ff</t>
  </si>
  <si>
    <t>5b17df3f012875082bc82048</t>
  </si>
  <si>
    <t>58ef5b480d27561215655a9c</t>
  </si>
  <si>
    <t>5d54026f41ed515c7a1eb40a</t>
  </si>
  <si>
    <t>563c5b3d05398a37780be2e2</t>
  </si>
  <si>
    <t>5487c9b1b9b7e705069489fb</t>
  </si>
  <si>
    <t>57ff8c180fb8e31870c27d68</t>
  </si>
  <si>
    <t>5d8c291ca1309429e32bb247</t>
  </si>
  <si>
    <t>5b18eb98dfc31f2100f4c4cd</t>
  </si>
  <si>
    <t>5de71b384c9c820a00c16efa</t>
  </si>
  <si>
    <t>5ab9f77bea8764355800e5a2</t>
  </si>
  <si>
    <t>55f982b029624842ab599cc3</t>
  </si>
  <si>
    <t>59cef71c21064f20067f4313</t>
  </si>
  <si>
    <t>57ff8bcd0712e0312f81ed73</t>
  </si>
  <si>
    <t>56e628924bd2915857b4ffdf</t>
  </si>
  <si>
    <t>58eb0bacd36f081046b7149c</t>
  </si>
  <si>
    <t>570f3a713a698c14278bb51e</t>
  </si>
  <si>
    <t>58be241991fd205b2462acc3</t>
  </si>
  <si>
    <t>5b164e4c7e43f2326c3e3931</t>
  </si>
  <si>
    <t>58b569edfc743d5072bcd4d9</t>
  </si>
  <si>
    <t>5accadccc98949438a3729a2</t>
  </si>
  <si>
    <t>5927d9ead7f65462c5a1d409</t>
  </si>
  <si>
    <t>585b36a336cedf4cb6c6ea62</t>
  </si>
  <si>
    <t>56c30460d7e2821146329f82</t>
  </si>
  <si>
    <t>58de1f5eef07c15511148726</t>
  </si>
  <si>
    <t>58c0fff96ecaa3523d59a24d</t>
  </si>
  <si>
    <t>57ebc98dfc63523912aa1424</t>
  </si>
  <si>
    <t>578e0488ba8cd20e9b1b4a3b</t>
  </si>
  <si>
    <t>572d45c708fad86678ca1938</t>
  </si>
  <si>
    <t>566a25e33a698c1f131fd872</t>
  </si>
  <si>
    <t>56de96c70f2a81169f14fcde</t>
  </si>
  <si>
    <t>5b41be818e210d22facca0bd</t>
  </si>
  <si>
    <t>574d559cb06e205d099d9107</t>
  </si>
  <si>
    <t>5e183869e344ec006fdaa805</t>
  </si>
  <si>
    <t>5eba4de229e78603182870c3</t>
  </si>
  <si>
    <t>58aec90823ef726994a323fe</t>
  </si>
  <si>
    <t>59538ae253ebe2397fc85777</t>
  </si>
  <si>
    <t>55e7ed3230a9764b0761fc82</t>
  </si>
  <si>
    <t>58529ee7e788116a53cbe2a9</t>
  </si>
  <si>
    <t>56a6d6f9cc46da0df30dd801</t>
  </si>
  <si>
    <t>5756d060b833235cbc250227</t>
  </si>
  <si>
    <t>543cf22998dc200761d621b2</t>
  </si>
  <si>
    <t>5730557ae3daeb5b35ee1f0b</t>
  </si>
  <si>
    <t>585cc05eaf0e9d52046c895d</t>
  </si>
  <si>
    <t>5646e6e72a6bdb446aaf6cc8</t>
  </si>
  <si>
    <t>59802a908ee78d7ec44d192a</t>
  </si>
  <si>
    <t>5810b1db3deb94160f5cd4a3</t>
  </si>
  <si>
    <t>57b58a411f608c02bd6976a4</t>
  </si>
  <si>
    <t>5b5576f84543f458aee346fb</t>
  </si>
  <si>
    <t>577a1c0517c3e2747a5a4659</t>
  </si>
  <si>
    <t>584426309b0f754de95d6b50</t>
  </si>
  <si>
    <t>58e5a2822d91301f0b3a6bd9</t>
  </si>
  <si>
    <t>578aeb7316b2891a3a226c21</t>
  </si>
  <si>
    <t>5800a8bb50d8ab5aaee15f20</t>
  </si>
  <si>
    <t>58aea6fe15241651ee65307b</t>
  </si>
  <si>
    <t>51aff6a38e221e2cafcdc0cb</t>
  </si>
  <si>
    <t>564b2fb5c126a0127af8441e</t>
  </si>
  <si>
    <t>583bdad32f5e5304a69d5bd3</t>
  </si>
  <si>
    <t>5d5a1171560eca427bf10acb</t>
  </si>
  <si>
    <t>587dcb1b6fa68c4caba87529</t>
  </si>
  <si>
    <t>5d4cf83dc8bc520142c8534f</t>
  </si>
  <si>
    <t>5700b51a0848f73d19d10cbb</t>
  </si>
  <si>
    <t>5ddd1355801ecf0a803b6c3a</t>
  </si>
  <si>
    <t>5d54f7e47ad2426b008579ae</t>
  </si>
  <si>
    <t>5eb50b2237d7ba4abca6250a</t>
  </si>
  <si>
    <t>59e968275d6f342463a6157b</t>
  </si>
  <si>
    <t>554b7fc033c1d7162b690160</t>
  </si>
  <si>
    <t>5a4df4937ce75c31079ba413</t>
  </si>
  <si>
    <t>578ed3e53a698c2b54ac93f4</t>
  </si>
  <si>
    <t>595df09dd44a9b53910f4e2b</t>
  </si>
  <si>
    <t>5eb8e443cefdd67ac09f93ca</t>
  </si>
  <si>
    <t>588224a5bb3a4a4d5169deb2</t>
  </si>
  <si>
    <t>5e75cce27477a26d336a6c07</t>
  </si>
  <si>
    <t>5dc818ca030a154e48a3a8af</t>
  </si>
  <si>
    <t>5a69c113da6ce6220cd14e05</t>
  </si>
  <si>
    <t>5e61cd4b97cc101bd3066216</t>
  </si>
  <si>
    <t>570cfe55a18a3f4630d18c02</t>
  </si>
  <si>
    <t>5860cbf734de6c4d4803523d</t>
  </si>
  <si>
    <t>533e35e334067e3f0e7b05c5</t>
  </si>
  <si>
    <t>5864730562a1e84ca10df658</t>
  </si>
  <si>
    <t>566a3ef17233ff2686443082</t>
  </si>
  <si>
    <t>591c47e34d43573c91966c72</t>
  </si>
  <si>
    <t>5abf82da22fad76f8c13b113</t>
  </si>
  <si>
    <t>5ae2fae49d5e9703cfd6b63c</t>
  </si>
  <si>
    <t>583188080d44631041fea370</t>
  </si>
  <si>
    <t>5e54d1d9e0d90e6488de48c2</t>
  </si>
  <si>
    <t>5b125148c2586910aba903d6</t>
  </si>
  <si>
    <t>58d765d6da2852536d7a3fa9</t>
  </si>
  <si>
    <t>5dcb9bb2997e90092d624499</t>
  </si>
  <si>
    <t>55cc46e9b4f3404582b70222</t>
  </si>
  <si>
    <t>5a129c6aeea5c546c8b8e2f8</t>
  </si>
  <si>
    <t>59f5481068788b25d0a84068</t>
  </si>
  <si>
    <t>58ad365fb3bd6d507b06db0f</t>
  </si>
  <si>
    <t>561df3a23a698c711e5e5efa</t>
  </si>
  <si>
    <t>5e693079c6a6e679c0bf4613</t>
  </si>
  <si>
    <t>583155a70d446310bcfe9f52</t>
  </si>
  <si>
    <t>57187da6f24dd9593ccc886a</t>
  </si>
  <si>
    <t>584a7a381591451e4e3af3df</t>
  </si>
  <si>
    <t>5e50d52818034a6835aeed37</t>
  </si>
  <si>
    <t>5ec3b16fedb2cda500b96542</t>
  </si>
  <si>
    <t>56961502ca1588618ca6d5fe</t>
  </si>
  <si>
    <t>5dea1af2efc6ec06d5c16dd3</t>
  </si>
  <si>
    <t>5d44f6c68388973d77042d83</t>
  </si>
  <si>
    <t>573d951ad57895595f6d5854</t>
  </si>
  <si>
    <t>5650100887aaa61273717ce0</t>
  </si>
  <si>
    <t>5e673ce450536b05cca259f2</t>
  </si>
  <si>
    <t>59e6e21337f9f80861ee895f</t>
  </si>
  <si>
    <t>5e732ba4dc0ec3709851e0f7</t>
  </si>
  <si>
    <t>54a2cd4940b3782666e8a5bf</t>
  </si>
  <si>
    <t>580f361ff6978b4fdba4b112</t>
  </si>
  <si>
    <t>5d9163dcbffbb14190a52df7</t>
  </si>
  <si>
    <t>5e535edc18034a4651aeecef</t>
  </si>
  <si>
    <t>5d481bd022f3014c80e6ddb2</t>
  </si>
  <si>
    <t>5bdc1408c23b3222e81f3936</t>
  </si>
  <si>
    <t>5844fc74f521924c9b5148f3</t>
  </si>
  <si>
    <t>5435ef5d01c0c057210e6b32</t>
  </si>
  <si>
    <t>58501ab6ff3da74c89f8927f</t>
  </si>
  <si>
    <t>585a1ec0b357934ca66b1457</t>
  </si>
  <si>
    <t>5d57d3a9cf65030dc331b0b2</t>
  </si>
  <si>
    <t>5ae5c3cb4215954239aff8b9</t>
  </si>
  <si>
    <t>5b0a6169012875789c76ebba</t>
  </si>
  <si>
    <t>5772693e4e1511743e371036</t>
  </si>
  <si>
    <t>5c0232c1d9333c676958674e</t>
  </si>
  <si>
    <t>58c14b3e98d70751f799bc3f</t>
  </si>
  <si>
    <t>5d43cda683889748193da7c0</t>
  </si>
  <si>
    <t>5d4d24b3c8bc521b5568b537</t>
  </si>
  <si>
    <t>5879cca64f3f2e4e79ae70ae</t>
  </si>
  <si>
    <t>58c28c4cae99c651278d7e6e</t>
  </si>
  <si>
    <t>53bd3edad911396c5b3fb0aa</t>
  </si>
  <si>
    <t>5eb8cf5429e78638f27379f5</t>
  </si>
  <si>
    <t>57edcd19252c15203b411d82</t>
  </si>
  <si>
    <t>5af25671e139d756e4f0afbe</t>
  </si>
  <si>
    <t>584fd5cbd67ff04c93c70560</t>
  </si>
  <si>
    <t>5b8f992a2eb51f465ffd388d</t>
  </si>
  <si>
    <t>587b795b0366d00c898ea210</t>
  </si>
  <si>
    <t>56ebb573e652e91f9ca6a674</t>
  </si>
  <si>
    <t>538f4f18ab980a5167a1d722</t>
  </si>
  <si>
    <t>59644507366c0629be364972</t>
  </si>
  <si>
    <t>57820e33ea637711873c1618</t>
  </si>
  <si>
    <t>5878edca3497136a61732df9</t>
  </si>
  <si>
    <t>5e6cb9806bab2075b2b64d15</t>
  </si>
  <si>
    <t>57878a7316b28907b9b50131</t>
  </si>
  <si>
    <t>5c077d9e80508524a1cb3315</t>
  </si>
  <si>
    <t>5e74810d7f5269411ad93989</t>
  </si>
  <si>
    <t>5825d0a72cf1425389672c35</t>
  </si>
  <si>
    <t>593f5bc925c4f57281c63593</t>
  </si>
  <si>
    <t>5c6d6c28619caa1d94891d06</t>
  </si>
  <si>
    <t>5e50b3e818034a49f8aeecdf</t>
  </si>
  <si>
    <t>5c749805a0e25747655033ac</t>
  </si>
  <si>
    <t>576b9101ac55bd7f2108992b</t>
  </si>
  <si>
    <t>5819d0d196f2cc7dffad41ec</t>
  </si>
  <si>
    <t>5847df29728de666ef5b853b</t>
  </si>
  <si>
    <t>55a641ddfa6d460ba65ce3b8</t>
  </si>
  <si>
    <t>57ac6144abd6d018985e34a7</t>
  </si>
  <si>
    <t>5911220e84aaef7ce5d732ef</t>
  </si>
  <si>
    <t>5556c60071e86d19fe7590d4</t>
  </si>
  <si>
    <t>57a1ac972b6fb2282425b585</t>
  </si>
  <si>
    <t>598040ea0ec30f7f43a3cc35</t>
  </si>
  <si>
    <t>55837e8030c8403f7c8044b9</t>
  </si>
  <si>
    <t>5528e6afecb5250bffe81ef7</t>
  </si>
  <si>
    <t>5d55f05833f0b43dceb58a50</t>
  </si>
  <si>
    <t>5b43232f86152a07d4ffc58c</t>
  </si>
  <si>
    <t>5466e6343dabbe66ab062be8</t>
  </si>
  <si>
    <t>5add589edb5f1f32114d07df</t>
  </si>
  <si>
    <t>58c4f51a77361650efb028df</t>
  </si>
  <si>
    <t>59146c0c71a2f21160479ee5</t>
  </si>
  <si>
    <t>54b8872d40b37856baa55e38</t>
  </si>
  <si>
    <t>5d410bd1fe55c814ade29a1c</t>
  </si>
  <si>
    <t>58b26eaa01c02f5114ac2ae9</t>
  </si>
  <si>
    <t>592968ba63950d682ca4b195</t>
  </si>
  <si>
    <t>54869f80546ead6e5b318f5b</t>
  </si>
  <si>
    <t>5ae0213bb722cf61f1aa3624</t>
  </si>
  <si>
    <t>5810c45baf5d3c19670b3f9a</t>
  </si>
  <si>
    <t>5e8544bfd69a0ea72d39bc31</t>
  </si>
  <si>
    <t>5c17357134f7db2450b03d51</t>
  </si>
  <si>
    <t>59a173df9fbc51783bd1f406</t>
  </si>
  <si>
    <t>58cbc85cad83385080a3cf94</t>
  </si>
  <si>
    <t>5aa24c9a22fad77bdfe2578b</t>
  </si>
  <si>
    <t>5937930e188f3d1bd209896d</t>
  </si>
  <si>
    <t>5d5cf8ff2736783681e22991</t>
  </si>
  <si>
    <t>5b8a0074f2858d1c8a032c5a</t>
  </si>
  <si>
    <t>551506dc18b2791039a7286d</t>
  </si>
  <si>
    <t>586378e04b60fe69e3335c5f</t>
  </si>
  <si>
    <t>56c3c5d830d9795c3bad3124</t>
  </si>
  <si>
    <t>58f0a6738a60c363c1281d72</t>
  </si>
  <si>
    <t>5d3d857c0ff7f937558c4dd1</t>
  </si>
  <si>
    <t>5b42da1bf64320209fc8da69</t>
  </si>
  <si>
    <t>5a409cf87b584e7951b2e25f</t>
  </si>
  <si>
    <t>merchantid</t>
  </si>
  <si>
    <t>listedproducts</t>
  </si>
  <si>
    <t>totalunitssold</t>
  </si>
  <si>
    <t>meanunitssoldperproduct</t>
  </si>
  <si>
    <t>merchantratingscount</t>
  </si>
  <si>
    <t>meanproductprices</t>
  </si>
  <si>
    <t>meanretailprices</t>
  </si>
  <si>
    <t>averagediscount</t>
  </si>
  <si>
    <t>meandiscount</t>
  </si>
  <si>
    <t>meanproductratingscount</t>
  </si>
  <si>
    <t>totalurgencycount</t>
  </si>
  <si>
    <t>urgencytextrate</t>
  </si>
  <si>
    <t>Merchant_tiers</t>
  </si>
  <si>
    <t>Rating_Catagory</t>
  </si>
  <si>
    <t>Discount_Stratorgy</t>
  </si>
  <si>
    <t>Urgency_status</t>
  </si>
  <si>
    <t xml:space="preserve">Bronze </t>
  </si>
  <si>
    <t xml:space="preserve">Gold </t>
  </si>
  <si>
    <t xml:space="preserve">Platinum </t>
  </si>
  <si>
    <t xml:space="preserve">Silver </t>
  </si>
  <si>
    <t>Grand Total</t>
  </si>
  <si>
    <t>Sum of totalunitssold</t>
  </si>
  <si>
    <t>Count of merchantid</t>
  </si>
  <si>
    <t xml:space="preserve">High </t>
  </si>
  <si>
    <t xml:space="preserve">Low </t>
  </si>
  <si>
    <t xml:space="preserve">Medium </t>
  </si>
  <si>
    <t>No Discount</t>
  </si>
  <si>
    <t>Average of meanunitssoldperproduct</t>
  </si>
  <si>
    <t>Has Banner</t>
  </si>
  <si>
    <t>No Banner</t>
  </si>
  <si>
    <t>Average of totalunitssold</t>
  </si>
  <si>
    <t>Average of rating</t>
  </si>
  <si>
    <t>Average of meandiscount</t>
  </si>
  <si>
    <t>Merchant_Tiers</t>
  </si>
  <si>
    <t>Discount_stratorgy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</si>
</sst>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tint="0.499984740745262"/>
      <name val="Calibri"/>
      <family val="2"/>
      <scheme val="minor"/>
    </font>
    <font>
      <sz val="11"/>
      <color theme="4" tint="0.3999755851924192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
      <patternFill patternType="solid">
        <fgColor theme="9" tint="0.59999389629810485"/>
        <bgColor indexed="64"/>
      </patternFill>
    </fill>
    <fill>
      <patternFill patternType="solid">
        <fgColor rgb="FF002060"/>
        <bgColor indexed="64"/>
      </patternFill>
    </fill>
    <fill>
      <patternFill patternType="solid">
        <fgColor theme="4" tint="-0.249977111117893"/>
        <bgColor indexed="64"/>
      </patternFill>
    </fill>
    <fill>
      <patternFill patternType="solid">
        <fgColor theme="1" tint="0.14999847407452621"/>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33" borderId="0" xfId="0" applyFill="1"/>
    <xf numFmtId="0" fontId="0" fillId="34" borderId="0" xfId="0" applyFill="1"/>
    <xf numFmtId="0" fontId="0" fillId="0" borderId="0" xfId="0" pivotButton="1"/>
    <xf numFmtId="0" fontId="0" fillId="0" borderId="0" xfId="0" applyAlignment="1">
      <alignment horizontal="left"/>
    </xf>
    <xf numFmtId="0" fontId="18" fillId="35" borderId="0" xfId="0" applyFont="1" applyFill="1"/>
    <xf numFmtId="0" fontId="18" fillId="35" borderId="0" xfId="0" applyFont="1" applyFill="1" applyAlignment="1">
      <alignment horizontal="center"/>
    </xf>
    <xf numFmtId="0" fontId="18" fillId="35" borderId="0" xfId="0" applyFont="1" applyFill="1" applyAlignment="1">
      <alignment horizontal="center" vertical="center"/>
    </xf>
    <xf numFmtId="0" fontId="0" fillId="35" borderId="0" xfId="0" applyFill="1"/>
    <xf numFmtId="0" fontId="0" fillId="36" borderId="0" xfId="0" applyFill="1" applyAlignment="1">
      <alignment horizontal="left"/>
    </xf>
    <xf numFmtId="0" fontId="0" fillId="36" borderId="0" xfId="0" applyFill="1"/>
    <xf numFmtId="0" fontId="19" fillId="37" borderId="0" xfId="0" applyFont="1" applyFill="1"/>
    <xf numFmtId="0" fontId="19" fillId="37" borderId="0" xfId="0" applyFont="1" applyFill="1" applyAlignment="1">
      <alignment horizontal="left"/>
    </xf>
    <xf numFmtId="0" fontId="0" fillId="38" borderId="0" xfId="0" applyFill="1" applyAlignment="1">
      <alignment horizontal="left"/>
    </xf>
    <xf numFmtId="0" fontId="0" fillId="38" borderId="0" xfId="0" applyFill="1"/>
    <xf numFmtId="0" fontId="19" fillId="35" borderId="0" xfId="0" applyFont="1" applyFill="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0" formatCode="General"/>
      <fill>
        <patternFill patternType="solid">
          <fgColor indexed="64"/>
          <bgColor theme="9" tint="0.59999389629810485"/>
        </patternFill>
      </fill>
    </dxf>
    <dxf>
      <numFmt numFmtId="0" formatCode="General"/>
      <fill>
        <patternFill patternType="solid">
          <fgColor indexed="64"/>
          <bgColor theme="9" tint="0.59999389629810485"/>
        </patternFill>
      </fill>
    </dxf>
    <dxf>
      <numFmt numFmtId="0" formatCode="General"/>
      <fill>
        <patternFill patternType="solid">
          <fgColor indexed="64"/>
          <bgColor theme="9" tint="0.59999389629810485"/>
        </patternFill>
      </fill>
    </dxf>
    <dxf>
      <numFmt numFmtId="0" formatCode="General"/>
      <fill>
        <patternFill patternType="solid">
          <fgColor indexed="64"/>
          <bgColor theme="9" tint="0.59999389629810485"/>
        </patternFill>
      </fill>
    </dxf>
    <dxf>
      <numFmt numFmtId="0" formatCode="Genera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ont>
        <color theme="4" tint="0.39997558519241921"/>
      </font>
    </dxf>
    <dxf>
      <font>
        <color theme="4" tint="0.39997558519241921"/>
      </font>
    </dxf>
    <dxf>
      <font>
        <color theme="4" tint="0.39997558519241921"/>
      </font>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4" tint="-0.249977111117893"/>
        </patternFill>
      </fill>
    </dxf>
    <dxf>
      <fill>
        <patternFill patternType="solid">
          <fgColor rgb="FF002060"/>
          <bgColor theme="4" tint="-0.499984740745262"/>
        </patternFill>
      </fill>
      <border diagonalUp="0" diagonalDown="0">
        <left/>
        <right/>
        <top/>
        <bottom/>
        <vertical/>
        <horizontal/>
      </border>
    </dxf>
    <dxf>
      <font>
        <color theme="4" tint="0.39994506668294322"/>
      </font>
      <fill>
        <patternFill patternType="solid">
          <fgColor rgb="FF002060"/>
          <bgColor rgb="FF002060"/>
        </patternFill>
      </fill>
      <border diagonalUp="0" diagonalDown="0">
        <left/>
        <right/>
        <top/>
        <bottom/>
        <vertical/>
        <horizontal/>
      </border>
    </dxf>
    <dxf>
      <fill>
        <patternFill patternType="solid">
          <fgColor theme="4" tint="-0.499984740745262"/>
          <bgColor rgb="FF002060"/>
        </patternFill>
      </fill>
    </dxf>
  </dxfs>
  <tableStyles count="2" defaultTableStyle="TableStyleMedium2" defaultPivotStyle="PivotStyleLight16">
    <tableStyle name="PivotTable Style 1" table="0" count="1" xr9:uid="{875BA47A-CE84-419B-B96B-B083322968D8}">
      <tableStyleElement type="wholeTable" dxfId="18"/>
    </tableStyle>
    <tableStyle name="Slicer Style 1" pivot="0" table="0" count="9" xr9:uid="{E8E297A2-765F-4571-B0FE-FC7A3CB7FCF7}">
      <tableStyleElement type="wholeTable" dxfId="17"/>
      <tableStyleElement type="headerRow" dxfId="16"/>
    </tableStyle>
  </tableStyles>
  <colors>
    <mruColors>
      <color rgb="FFF8F9FA"/>
    </mruColors>
  </colors>
  <extLst>
    <ext xmlns:x14="http://schemas.microsoft.com/office/spreadsheetml/2009/9/main" uri="{46F421CA-312F-682f-3DD2-61675219B42D}">
      <x14:dxfs count="7">
        <dxf>
          <fill>
            <gradientFill degree="90">
              <stop position="0">
                <color theme="4" tint="-0.25098422193060094"/>
              </stop>
              <stop position="1">
                <color theme="4" tint="-0.49803155613879818"/>
              </stop>
            </gradientFill>
          </fill>
        </dxf>
        <dxf>
          <fill>
            <gradientFill degree="90">
              <stop position="0">
                <color theme="4" tint="-0.25098422193060094"/>
              </stop>
              <stop position="1">
                <color theme="4" tint="-0.49803155613879818"/>
              </stop>
            </gradientFill>
          </fill>
        </dxf>
        <dxf>
          <fill>
            <gradientFill degree="90">
              <stop position="0">
                <color theme="4" tint="-0.25098422193060094"/>
              </stop>
              <stop position="1">
                <color theme="4" tint="-0.49803155613879818"/>
              </stop>
            </gradientFill>
          </fill>
        </dxf>
        <dxf>
          <fill>
            <gradientFill degree="90">
              <stop position="0">
                <color theme="4" tint="-0.49803155613879818"/>
              </stop>
              <stop position="1">
                <color theme="4" tint="-0.25098422193060094"/>
              </stop>
            </gradientFill>
          </fill>
        </dxf>
        <dxf>
          <fill>
            <gradientFill degree="90">
              <stop position="0">
                <color theme="4" tint="-0.49803155613879818"/>
              </stop>
              <stop position="1">
                <color theme="4" tint="-0.25098422193060094"/>
              </stop>
            </gradientFill>
          </fill>
        </dxf>
        <dxf>
          <fill>
            <gradientFill degree="90">
              <stop position="0">
                <color theme="4" tint="-0.25098422193060094"/>
              </stop>
              <stop position="1">
                <color theme="4" tint="-0.49803155613879818"/>
              </stop>
            </gradientFill>
          </fill>
        </dxf>
        <dxf>
          <fill>
            <gradientFill degree="90">
              <stop position="0">
                <color theme="4" tint="-0.25098422193060094"/>
              </stop>
              <stop position="1">
                <color theme="4" tint="-0.49803155613879818"/>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[sales_of_summer_products_excel.xlsx]Sales_Volume_ by_Merchant_Tier!PivotTable1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'Sales_Volume_ by_Merchant_Tier'!$B$1</c:f>
              <c:strCache>
                <c:ptCount val="1"/>
                <c:pt idx="0">
                  <c:v>Sum of totalunitssold</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'Sales_Volume_ by_Merchant_Tier'!$A$2:$A$6</c:f>
              <c:strCache>
                <c:ptCount val="4"/>
                <c:pt idx="0">
                  <c:v>Platinum </c:v>
                </c:pt>
                <c:pt idx="1">
                  <c:v>Gold </c:v>
                </c:pt>
                <c:pt idx="2">
                  <c:v>Silver </c:v>
                </c:pt>
                <c:pt idx="3">
                  <c:v>Bronze </c:v>
                </c:pt>
              </c:strCache>
            </c:strRef>
          </c:cat>
          <c:val>
            <c:numRef>
              <c:f>'Sales_Volume_ by_Merchant_Tier'!$B$2:$B$6</c:f>
              <c:numCache>
                <c:formatCode>General</c:formatCode>
                <c:ptCount val="4"/>
                <c:pt idx="0">
                  <c:v>4660633</c:v>
                </c:pt>
                <c:pt idx="1">
                  <c:v>1812180</c:v>
                </c:pt>
                <c:pt idx="2">
                  <c:v>350923</c:v>
                </c:pt>
                <c:pt idx="3">
                  <c:v>1519</c:v>
                </c:pt>
              </c:numCache>
            </c:numRef>
          </c:val>
          <c:extLst>
            <c:ext xmlns:c16="http://schemas.microsoft.com/office/drawing/2014/chart" uri="{C3380CC4-5D6E-409C-BE32-E72D297353CC}">
              <c16:uniqueId val="{00000000-D181-4E46-8F40-DAC7C3523D7C}"/>
            </c:ext>
          </c:extLst>
        </c:ser>
        <c:ser>
          <c:idx val="1"/>
          <c:order val="1"/>
          <c:tx>
            <c:strRef>
              <c:f>'Sales_Volume_ by_Merchant_Tier'!$C$1</c:f>
              <c:strCache>
                <c:ptCount val="1"/>
                <c:pt idx="0">
                  <c:v>Count of merchantid</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'Sales_Volume_ by_Merchant_Tier'!$A$2:$A$6</c:f>
              <c:strCache>
                <c:ptCount val="4"/>
                <c:pt idx="0">
                  <c:v>Platinum </c:v>
                </c:pt>
                <c:pt idx="1">
                  <c:v>Gold </c:v>
                </c:pt>
                <c:pt idx="2">
                  <c:v>Silver </c:v>
                </c:pt>
                <c:pt idx="3">
                  <c:v>Bronze </c:v>
                </c:pt>
              </c:strCache>
            </c:strRef>
          </c:cat>
          <c:val>
            <c:numRef>
              <c:f>'Sales_Volume_ by_Merchant_Tier'!$C$2:$C$6</c:f>
              <c:numCache>
                <c:formatCode>General</c:formatCode>
                <c:ptCount val="4"/>
                <c:pt idx="0">
                  <c:v>135</c:v>
                </c:pt>
                <c:pt idx="1">
                  <c:v>229</c:v>
                </c:pt>
                <c:pt idx="2">
                  <c:v>533</c:v>
                </c:pt>
                <c:pt idx="3">
                  <c:v>61</c:v>
                </c:pt>
              </c:numCache>
            </c:numRef>
          </c:val>
          <c:extLst>
            <c:ext xmlns:c16="http://schemas.microsoft.com/office/drawing/2014/chart" uri="{C3380CC4-5D6E-409C-BE32-E72D297353CC}">
              <c16:uniqueId val="{00000001-D181-4E46-8F40-DAC7C3523D7C}"/>
            </c:ext>
          </c:extLst>
        </c:ser>
        <c:dLbls>
          <c:showLegendKey val="0"/>
          <c:showVal val="0"/>
          <c:showCatName val="0"/>
          <c:showSerName val="0"/>
          <c:showPercent val="0"/>
          <c:showBubbleSize val="0"/>
        </c:dLbls>
        <c:gapWidth val="150"/>
        <c:shape val="box"/>
        <c:axId val="208988287"/>
        <c:axId val="208986367"/>
        <c:axId val="2136771104"/>
      </c:bar3DChart>
      <c:catAx>
        <c:axId val="208988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986367"/>
        <c:crosses val="autoZero"/>
        <c:auto val="1"/>
        <c:lblAlgn val="ctr"/>
        <c:lblOffset val="100"/>
        <c:noMultiLvlLbl val="0"/>
      </c:catAx>
      <c:valAx>
        <c:axId val="20898636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988287"/>
        <c:crosses val="autoZero"/>
        <c:crossBetween val="between"/>
      </c:valAx>
      <c:serAx>
        <c:axId val="213677110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9863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[sales_of_summer_products_excel.xlsx]Discount_Impact_on_Sales_Perfor!PivotTable2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Discount_Impact_on_Sales_Perfor!$B$1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Discount_Impact_on_Sales_Perfor!$A$2:$A$6</c:f>
              <c:strCache>
                <c:ptCount val="4"/>
                <c:pt idx="0">
                  <c:v>High </c:v>
                </c:pt>
                <c:pt idx="1">
                  <c:v>Low </c:v>
                </c:pt>
                <c:pt idx="2">
                  <c:v>Medium </c:v>
                </c:pt>
                <c:pt idx="3">
                  <c:v>No Discount</c:v>
                </c:pt>
              </c:strCache>
            </c:strRef>
          </c:cat>
          <c:val>
            <c:numRef>
              <c:f>Discount_Impact_on_Sales_Perfor!$B$2:$B$6</c:f>
              <c:numCache>
                <c:formatCode>General</c:formatCode>
                <c:ptCount val="4"/>
                <c:pt idx="0">
                  <c:v>4580.469879518072</c:v>
                </c:pt>
                <c:pt idx="1">
                  <c:v>3916.7326732673268</c:v>
                </c:pt>
                <c:pt idx="2">
                  <c:v>4122.4102564102568</c:v>
                </c:pt>
                <c:pt idx="3">
                  <c:v>4470.2401960784309</c:v>
                </c:pt>
              </c:numCache>
            </c:numRef>
          </c:val>
          <c:extLst>
            <c:ext xmlns:c16="http://schemas.microsoft.com/office/drawing/2014/chart" uri="{C3380CC4-5D6E-409C-BE32-E72D297353CC}">
              <c16:uniqueId val="{00000000-1745-4EBE-9BFA-B003224FED39}"/>
            </c:ext>
          </c:extLst>
        </c:ser>
        <c:dLbls>
          <c:showLegendKey val="0"/>
          <c:showVal val="0"/>
          <c:showCatName val="0"/>
          <c:showSerName val="0"/>
          <c:showPercent val="0"/>
          <c:showBubbleSize val="0"/>
        </c:dLbls>
        <c:gapWidth val="150"/>
        <c:shape val="box"/>
        <c:axId val="1446373359"/>
        <c:axId val="1446372399"/>
        <c:axId val="0"/>
      </c:bar3DChart>
      <c:catAx>
        <c:axId val="1446373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6372399"/>
        <c:crosses val="autoZero"/>
        <c:auto val="1"/>
        <c:lblAlgn val="ctr"/>
        <c:lblOffset val="100"/>
        <c:noMultiLvlLbl val="0"/>
      </c:catAx>
      <c:valAx>
        <c:axId val="1446372399"/>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637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[sales_of_summer_products_excel.xlsx]Urgency_Banner_Effectiveness!PivotTable3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Urgency_Banner_Effectiveness!$B$1</c:f>
              <c:strCache>
                <c:ptCount val="1"/>
                <c:pt idx="0">
                  <c:v>Average of totalunitssold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8AA-4F9B-951C-1053FBA5139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8AA-4F9B-951C-1053FBA513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Urgency_Banner_Effectiveness!$A$2:$A$4</c:f>
              <c:strCache>
                <c:ptCount val="2"/>
                <c:pt idx="0">
                  <c:v>Has Banner</c:v>
                </c:pt>
                <c:pt idx="1">
                  <c:v>No Banner</c:v>
                </c:pt>
              </c:strCache>
            </c:strRef>
          </c:cat>
          <c:val>
            <c:numRef>
              <c:f>Urgency_Banner_Effectiveness!$B$2:$B$4</c:f>
              <c:numCache>
                <c:formatCode>General</c:formatCode>
                <c:ptCount val="2"/>
                <c:pt idx="0">
                  <c:v>9345.7800511508958</c:v>
                </c:pt>
                <c:pt idx="1">
                  <c:v>5592.6895943562613</c:v>
                </c:pt>
              </c:numCache>
            </c:numRef>
          </c:val>
          <c:extLst>
            <c:ext xmlns:c16="http://schemas.microsoft.com/office/drawing/2014/chart" uri="{C3380CC4-5D6E-409C-BE32-E72D297353CC}">
              <c16:uniqueId val="{00000000-7139-49B2-9224-24CB4FDBE4E6}"/>
            </c:ext>
          </c:extLst>
        </c:ser>
        <c:ser>
          <c:idx val="1"/>
          <c:order val="1"/>
          <c:tx>
            <c:strRef>
              <c:f>Urgency_Banner_Effectiveness!$C$1</c:f>
              <c:strCache>
                <c:ptCount val="1"/>
                <c:pt idx="0">
                  <c:v>Average of rating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8AA-4F9B-951C-1053FBA5139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8AA-4F9B-951C-1053FBA513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Urgency_Banner_Effectiveness!$A$2:$A$4</c:f>
              <c:strCache>
                <c:ptCount val="2"/>
                <c:pt idx="0">
                  <c:v>Has Banner</c:v>
                </c:pt>
                <c:pt idx="1">
                  <c:v>No Banner</c:v>
                </c:pt>
              </c:strCache>
            </c:strRef>
          </c:cat>
          <c:val>
            <c:numRef>
              <c:f>Urgency_Banner_Effectiveness!$C$2:$C$4</c:f>
              <c:numCache>
                <c:formatCode>General</c:formatCode>
                <c:ptCount val="2"/>
                <c:pt idx="0">
                  <c:v>4.0397902813299194</c:v>
                </c:pt>
                <c:pt idx="1">
                  <c:v>4.0468924162257487</c:v>
                </c:pt>
              </c:numCache>
            </c:numRef>
          </c:val>
          <c:extLst>
            <c:ext xmlns:c16="http://schemas.microsoft.com/office/drawing/2014/chart" uri="{C3380CC4-5D6E-409C-BE32-E72D297353CC}">
              <c16:uniqueId val="{00000001-7139-49B2-9224-24CB4FDBE4E6}"/>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xdr:col>
      <xdr:colOff>0</xdr:colOff>
      <xdr:row>0</xdr:row>
      <xdr:rowOff>179070</xdr:rowOff>
    </xdr:from>
    <xdr:to>
      <xdr:col>11</xdr:col>
      <xdr:colOff>7620</xdr:colOff>
      <xdr:row>15</xdr:row>
      <xdr:rowOff>179070</xdr:rowOff>
    </xdr:to>
    <xdr:graphicFrame macro="">
      <xdr:nvGraphicFramePr>
        <xdr:cNvPr id="2" name="Chart 1">
          <a:extLst>
            <a:ext uri="{FF2B5EF4-FFF2-40B4-BE49-F238E27FC236}">
              <a16:creationId xmlns:a16="http://schemas.microsoft.com/office/drawing/2014/main" id="{FAA26D3F-5709-F6F1-2026-721E419D7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2</xdr:row>
      <xdr:rowOff>3810</xdr:rowOff>
    </xdr:from>
    <xdr:to>
      <xdr:col>10</xdr:col>
      <xdr:colOff>0</xdr:colOff>
      <xdr:row>17</xdr:row>
      <xdr:rowOff>0</xdr:rowOff>
    </xdr:to>
    <xdr:graphicFrame macro="">
      <xdr:nvGraphicFramePr>
        <xdr:cNvPr id="2" name="Chart 1">
          <a:extLst>
            <a:ext uri="{FF2B5EF4-FFF2-40B4-BE49-F238E27FC236}">
              <a16:creationId xmlns:a16="http://schemas.microsoft.com/office/drawing/2014/main" id="{A3DDD748-964D-0954-9A84-D12C8C38E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0</xdr:row>
      <xdr:rowOff>179070</xdr:rowOff>
    </xdr:from>
    <xdr:to>
      <xdr:col>11</xdr:col>
      <xdr:colOff>601980</xdr:colOff>
      <xdr:row>18</xdr:row>
      <xdr:rowOff>0</xdr:rowOff>
    </xdr:to>
    <xdr:graphicFrame macro="">
      <xdr:nvGraphicFramePr>
        <xdr:cNvPr id="2" name="Chart 1">
          <a:extLst>
            <a:ext uri="{FF2B5EF4-FFF2-40B4-BE49-F238E27FC236}">
              <a16:creationId xmlns:a16="http://schemas.microsoft.com/office/drawing/2014/main" id="{CC25E046-0B14-F561-398F-4701A75EB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45720</xdr:colOff>
      <xdr:row>3</xdr:row>
      <xdr:rowOff>137160</xdr:rowOff>
    </xdr:from>
    <xdr:to>
      <xdr:col>0</xdr:col>
      <xdr:colOff>1577340</xdr:colOff>
      <xdr:row>6</xdr:row>
      <xdr:rowOff>45720</xdr:rowOff>
    </xdr:to>
    <xdr:sp macro="" textlink="">
      <xdr:nvSpPr>
        <xdr:cNvPr id="13" name="Rectangle: Rounded Corners 12">
          <a:extLst>
            <a:ext uri="{FF2B5EF4-FFF2-40B4-BE49-F238E27FC236}">
              <a16:creationId xmlns:a16="http://schemas.microsoft.com/office/drawing/2014/main" id="{0FDF402D-ABA0-D6A6-56B3-FB15EA933D52}"/>
            </a:ext>
          </a:extLst>
        </xdr:cNvPr>
        <xdr:cNvSpPr/>
      </xdr:nvSpPr>
      <xdr:spPr>
        <a:xfrm>
          <a:off x="45720" y="685800"/>
          <a:ext cx="1531620" cy="457200"/>
        </a:xfrm>
        <a:prstGeom prst="round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xdr:from>
      <xdr:col>0</xdr:col>
      <xdr:colOff>312420</xdr:colOff>
      <xdr:row>3</xdr:row>
      <xdr:rowOff>30480</xdr:rowOff>
    </xdr:from>
    <xdr:to>
      <xdr:col>2</xdr:col>
      <xdr:colOff>30480</xdr:colOff>
      <xdr:row>6</xdr:row>
      <xdr:rowOff>30480</xdr:rowOff>
    </xdr:to>
    <xdr:sp macro="" textlink="">
      <xdr:nvSpPr>
        <xdr:cNvPr id="3" name="Rectangle: Rounded Corners 2">
          <a:extLst>
            <a:ext uri="{FF2B5EF4-FFF2-40B4-BE49-F238E27FC236}">
              <a16:creationId xmlns:a16="http://schemas.microsoft.com/office/drawing/2014/main" id="{BB29424B-DCB3-1A93-510F-3E6B935C1599}"/>
            </a:ext>
          </a:extLst>
        </xdr:cNvPr>
        <xdr:cNvSpPr/>
      </xdr:nvSpPr>
      <xdr:spPr>
        <a:xfrm>
          <a:off x="312420" y="579120"/>
          <a:ext cx="937260" cy="5486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22860</xdr:colOff>
      <xdr:row>6</xdr:row>
      <xdr:rowOff>129540</xdr:rowOff>
    </xdr:from>
    <xdr:to>
      <xdr:col>0</xdr:col>
      <xdr:colOff>1569720</xdr:colOff>
      <xdr:row>9</xdr:row>
      <xdr:rowOff>38100</xdr:rowOff>
    </xdr:to>
    <xdr:sp macro="" textlink="">
      <xdr:nvSpPr>
        <xdr:cNvPr id="14" name="Rectangle: Rounded Corners 13">
          <a:extLst>
            <a:ext uri="{FF2B5EF4-FFF2-40B4-BE49-F238E27FC236}">
              <a16:creationId xmlns:a16="http://schemas.microsoft.com/office/drawing/2014/main" id="{B5AB596C-182F-4C00-B862-C746CADB0417}"/>
            </a:ext>
          </a:extLst>
        </xdr:cNvPr>
        <xdr:cNvSpPr/>
      </xdr:nvSpPr>
      <xdr:spPr>
        <a:xfrm>
          <a:off x="22860" y="1226820"/>
          <a:ext cx="1546860" cy="457200"/>
        </a:xfrm>
        <a:prstGeom prst="round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xdr:from>
      <xdr:col>0</xdr:col>
      <xdr:colOff>38100</xdr:colOff>
      <xdr:row>9</xdr:row>
      <xdr:rowOff>121920</xdr:rowOff>
    </xdr:from>
    <xdr:to>
      <xdr:col>0</xdr:col>
      <xdr:colOff>1569720</xdr:colOff>
      <xdr:row>12</xdr:row>
      <xdr:rowOff>30480</xdr:rowOff>
    </xdr:to>
    <xdr:sp macro="" textlink="">
      <xdr:nvSpPr>
        <xdr:cNvPr id="15" name="Rectangle: Rounded Corners 14">
          <a:extLst>
            <a:ext uri="{FF2B5EF4-FFF2-40B4-BE49-F238E27FC236}">
              <a16:creationId xmlns:a16="http://schemas.microsoft.com/office/drawing/2014/main" id="{7E40840D-99E6-4244-A0AD-19A15B8DE9BD}"/>
            </a:ext>
          </a:extLst>
        </xdr:cNvPr>
        <xdr:cNvSpPr/>
      </xdr:nvSpPr>
      <xdr:spPr>
        <a:xfrm>
          <a:off x="38100" y="1767840"/>
          <a:ext cx="1531620" cy="457200"/>
        </a:xfrm>
        <a:prstGeom prst="round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xdr:from>
      <xdr:col>0</xdr:col>
      <xdr:colOff>45720</xdr:colOff>
      <xdr:row>12</xdr:row>
      <xdr:rowOff>129540</xdr:rowOff>
    </xdr:from>
    <xdr:to>
      <xdr:col>0</xdr:col>
      <xdr:colOff>1577340</xdr:colOff>
      <xdr:row>15</xdr:row>
      <xdr:rowOff>38100</xdr:rowOff>
    </xdr:to>
    <xdr:sp macro="" textlink="">
      <xdr:nvSpPr>
        <xdr:cNvPr id="16" name="Rectangle: Rounded Corners 15">
          <a:extLst>
            <a:ext uri="{FF2B5EF4-FFF2-40B4-BE49-F238E27FC236}">
              <a16:creationId xmlns:a16="http://schemas.microsoft.com/office/drawing/2014/main" id="{9D688EAF-0C4C-49B0-967A-42F9CE09C107}"/>
            </a:ext>
          </a:extLst>
        </xdr:cNvPr>
        <xdr:cNvSpPr/>
      </xdr:nvSpPr>
      <xdr:spPr>
        <a:xfrm>
          <a:off x="45720" y="2324100"/>
          <a:ext cx="1531620" cy="457200"/>
        </a:xfrm>
        <a:prstGeom prst="round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xdr:from>
      <xdr:col>0</xdr:col>
      <xdr:colOff>38100</xdr:colOff>
      <xdr:row>0</xdr:row>
      <xdr:rowOff>152400</xdr:rowOff>
    </xdr:from>
    <xdr:to>
      <xdr:col>12</xdr:col>
      <xdr:colOff>312420</xdr:colOff>
      <xdr:row>2</xdr:row>
      <xdr:rowOff>144780</xdr:rowOff>
    </xdr:to>
    <xdr:sp macro="" textlink="">
      <xdr:nvSpPr>
        <xdr:cNvPr id="17" name="Rectangle: Rounded Corners 16">
          <a:extLst>
            <a:ext uri="{FF2B5EF4-FFF2-40B4-BE49-F238E27FC236}">
              <a16:creationId xmlns:a16="http://schemas.microsoft.com/office/drawing/2014/main" id="{16DFBFBF-0D71-CE37-6D29-47D494A1C968}"/>
            </a:ext>
          </a:extLst>
        </xdr:cNvPr>
        <xdr:cNvSpPr/>
      </xdr:nvSpPr>
      <xdr:spPr>
        <a:xfrm>
          <a:off x="38100" y="152400"/>
          <a:ext cx="11529060" cy="35814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200">
              <a:solidFill>
                <a:schemeClr val="bg2">
                  <a:lumMod val="10000"/>
                </a:schemeClr>
              </a:solidFill>
            </a:rPr>
            <a:t>      "E-Commerce Active Seller Performance Dashboard"</a:t>
          </a:r>
        </a:p>
      </xdr:txBody>
    </xdr:sp>
    <xdr:clientData/>
  </xdr:twoCellAnchor>
  <mc:AlternateContent xmlns:mc="http://schemas.openxmlformats.org/markup-compatibility/2006">
    <mc:Choice xmlns:a14="http://schemas.microsoft.com/office/drawing/2010/main" Requires="a14">
      <xdr:twoCellAnchor editAs="oneCell">
        <xdr:from>
          <xdr:col>1</xdr:col>
          <xdr:colOff>899160</xdr:colOff>
          <xdr:row>3</xdr:row>
          <xdr:rowOff>76200</xdr:rowOff>
        </xdr:from>
        <xdr:to>
          <xdr:col>5</xdr:col>
          <xdr:colOff>312616</xdr:colOff>
          <xdr:row>18</xdr:row>
          <xdr:rowOff>91440</xdr:rowOff>
        </xdr:to>
        <xdr:pic>
          <xdr:nvPicPr>
            <xdr:cNvPr id="19" name="Picture 18">
              <a:extLst>
                <a:ext uri="{FF2B5EF4-FFF2-40B4-BE49-F238E27FC236}">
                  <a16:creationId xmlns:a16="http://schemas.microsoft.com/office/drawing/2014/main" id="{DAD058E4-0053-570C-B5F5-EB3AA973C960}"/>
                </a:ext>
              </a:extLst>
            </xdr:cNvPr>
            <xdr:cNvPicPr>
              <a:picLocks noChangeAspect="1" noChangeArrowheads="1"/>
              <a:extLst>
                <a:ext uri="{84589F7E-364E-4C9E-8A38-B11213B215E9}">
                  <a14:cameraTool cellRange="'Sales_Volume_ by_Merchant_Tier'!$E$1:$K$16" spid="_x0000_s9250"/>
                </a:ext>
              </a:extLst>
            </xdr:cNvPicPr>
          </xdr:nvPicPr>
          <xdr:blipFill rotWithShape="1">
            <a:blip xmlns:r="http://schemas.openxmlformats.org/officeDocument/2006/relationships" r:embed="rId1">
              <a:alphaModFix/>
              <a:duotone>
                <a:prstClr val="black"/>
                <a:schemeClr val="accent1">
                  <a:tint val="45000"/>
                  <a:satMod val="400000"/>
                </a:schemeClr>
              </a:duotone>
            </a:blip>
            <a:srcRect t="5974"/>
            <a:stretch>
              <a:fillRect/>
            </a:stretch>
          </xdr:blipFill>
          <xdr:spPr bwMode="auto">
            <a:xfrm>
              <a:off x="2481775" y="633046"/>
              <a:ext cx="4073379" cy="2799471"/>
            </a:xfrm>
            <a:prstGeom prst="rect">
              <a:avLst/>
            </a:prstGeom>
            <a:noFill/>
            <a:ln>
              <a:solidFill>
                <a:srgbClr val="002060"/>
              </a:solidFill>
            </a:ln>
            <a:effectLst>
              <a:softEdge rad="101600"/>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335280</xdr:colOff>
          <xdr:row>3</xdr:row>
          <xdr:rowOff>91440</xdr:rowOff>
        </xdr:from>
        <xdr:to>
          <xdr:col>12</xdr:col>
          <xdr:colOff>342899</xdr:colOff>
          <xdr:row>18</xdr:row>
          <xdr:rowOff>83820</xdr:rowOff>
        </xdr:to>
        <xdr:pic>
          <xdr:nvPicPr>
            <xdr:cNvPr id="21" name="Picture 20">
              <a:extLst>
                <a:ext uri="{FF2B5EF4-FFF2-40B4-BE49-F238E27FC236}">
                  <a16:creationId xmlns:a16="http://schemas.microsoft.com/office/drawing/2014/main" id="{E8EF6875-815F-19D5-E2E4-BBDFD9383CAC}"/>
                </a:ext>
              </a:extLst>
            </xdr:cNvPr>
            <xdr:cNvPicPr>
              <a:picLocks noChangeAspect="1" noChangeArrowheads="1"/>
              <a:extLst>
                <a:ext uri="{84589F7E-364E-4C9E-8A38-B11213B215E9}">
                  <a14:cameraTool cellRange="Discount_Impact_on_Sales_Perfor!$D$2:$J$17" spid="_x0000_s9251"/>
                </a:ext>
              </a:extLst>
            </xdr:cNvPicPr>
          </xdr:nvPicPr>
          <xdr:blipFill rotWithShape="1">
            <a:blip xmlns:r="http://schemas.openxmlformats.org/officeDocument/2006/relationships" r:embed="rId2">
              <a:duotone>
                <a:prstClr val="black"/>
                <a:schemeClr val="accent1">
                  <a:tint val="45000"/>
                  <a:satMod val="400000"/>
                </a:schemeClr>
              </a:duotone>
            </a:blip>
            <a:srcRect t="6371"/>
            <a:stretch>
              <a:fillRect/>
            </a:stretch>
          </xdr:blipFill>
          <xdr:spPr bwMode="auto">
            <a:xfrm>
              <a:off x="7322820" y="640080"/>
              <a:ext cx="4274820" cy="2735580"/>
            </a:xfrm>
            <a:prstGeom prst="rect">
              <a:avLst/>
            </a:prstGeom>
            <a:blipFill>
              <a:blip xmlns:r="http://schemas.openxmlformats.org/officeDocument/2006/relationships" r:embed="rId3"/>
              <a:tile tx="0" ty="0" sx="100000" sy="100000" flip="none" algn="tl"/>
            </a:blipFill>
            <a:ln>
              <a:solidFill>
                <a:srgbClr val="002060"/>
              </a:solidFill>
            </a:ln>
            <a:effectLst>
              <a:softEdge rad="101600"/>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365760</xdr:colOff>
          <xdr:row>20</xdr:row>
          <xdr:rowOff>99060</xdr:rowOff>
        </xdr:from>
        <xdr:to>
          <xdr:col>12</xdr:col>
          <xdr:colOff>441959</xdr:colOff>
          <xdr:row>34</xdr:row>
          <xdr:rowOff>60960</xdr:rowOff>
        </xdr:to>
        <xdr:pic>
          <xdr:nvPicPr>
            <xdr:cNvPr id="23" name="Picture 22">
              <a:extLst>
                <a:ext uri="{FF2B5EF4-FFF2-40B4-BE49-F238E27FC236}">
                  <a16:creationId xmlns:a16="http://schemas.microsoft.com/office/drawing/2014/main" id="{31DDAB3A-27FB-5440-B1FC-257D0B68A2F9}"/>
                </a:ext>
              </a:extLst>
            </xdr:cNvPr>
            <xdr:cNvPicPr>
              <a:picLocks noChangeAspect="1" noChangeArrowheads="1"/>
              <a:extLst>
                <a:ext uri="{84589F7E-364E-4C9E-8A38-B11213B215E9}">
                  <a14:cameraTool cellRange="Urgency_Banner_Effectiveness!$E$1:$L$18" spid="_x0000_s9252"/>
                </a:ext>
              </a:extLst>
            </xdr:cNvPicPr>
          </xdr:nvPicPr>
          <xdr:blipFill rotWithShape="1">
            <a:blip xmlns:r="http://schemas.openxmlformats.org/officeDocument/2006/relationships" r:embed="rId4">
              <a:duotone>
                <a:prstClr val="black"/>
                <a:schemeClr val="accent1">
                  <a:tint val="45000"/>
                  <a:satMod val="400000"/>
                </a:schemeClr>
              </a:duotone>
            </a:blip>
            <a:srcRect t="5543"/>
            <a:stretch>
              <a:fillRect/>
            </a:stretch>
          </xdr:blipFill>
          <xdr:spPr bwMode="auto">
            <a:xfrm>
              <a:off x="7353300" y="3756660"/>
              <a:ext cx="4343400" cy="2522220"/>
            </a:xfrm>
            <a:prstGeom prst="rect">
              <a:avLst/>
            </a:prstGeom>
            <a:noFill/>
            <a:effectLst>
              <a:softEdge rad="101600"/>
            </a:effectLst>
            <a:extLst>
              <a:ext uri="{909E8E84-426E-40DD-AFC4-6F175D3DCCD1}">
                <a14:hiddenFill>
                  <a:solidFill>
                    <a:srgbClr val="FFFFFF"/>
                  </a:solidFill>
                </a14:hiddenFill>
              </a:ext>
            </a:extLst>
          </xdr:spPr>
        </xdr:pic>
        <xdr:clientData/>
      </xdr:twoCellAnchor>
    </mc:Choice>
    <mc:Fallback/>
  </mc:AlternateContent>
  <xdr:twoCellAnchor editAs="oneCell">
    <xdr:from>
      <xdr:col>0</xdr:col>
      <xdr:colOff>53340</xdr:colOff>
      <xdr:row>18</xdr:row>
      <xdr:rowOff>160020</xdr:rowOff>
    </xdr:from>
    <xdr:to>
      <xdr:col>1</xdr:col>
      <xdr:colOff>297180</xdr:colOff>
      <xdr:row>26</xdr:row>
      <xdr:rowOff>175259</xdr:rowOff>
    </xdr:to>
    <mc:AlternateContent xmlns:mc="http://schemas.openxmlformats.org/markup-compatibility/2006" xmlns:a14="http://schemas.microsoft.com/office/drawing/2010/main">
      <mc:Choice Requires="a14">
        <xdr:graphicFrame macro="">
          <xdr:nvGraphicFramePr>
            <xdr:cNvPr id="27" name="Rating_Catagory 1">
              <a:extLst>
                <a:ext uri="{FF2B5EF4-FFF2-40B4-BE49-F238E27FC236}">
                  <a16:creationId xmlns:a16="http://schemas.microsoft.com/office/drawing/2014/main" id="{5097D0BC-2013-CC1F-F56D-AFEF96260DAB}"/>
                </a:ext>
              </a:extLst>
            </xdr:cNvPr>
            <xdr:cNvGraphicFramePr/>
          </xdr:nvGraphicFramePr>
          <xdr:xfrm>
            <a:off x="0" y="0"/>
            <a:ext cx="0" cy="0"/>
          </xdr:xfrm>
          <a:graphic>
            <a:graphicData uri="http://schemas.microsoft.com/office/drawing/2010/slicer">
              <sle:slicer xmlns:sle="http://schemas.microsoft.com/office/drawing/2010/slicer" name="Rating_Catagory 1"/>
            </a:graphicData>
          </a:graphic>
        </xdr:graphicFrame>
      </mc:Choice>
      <mc:Fallback xmlns="">
        <xdr:sp macro="" textlink="">
          <xdr:nvSpPr>
            <xdr:cNvPr id="0" name=""/>
            <xdr:cNvSpPr>
              <a:spLocks noTextEdit="1"/>
            </xdr:cNvSpPr>
          </xdr:nvSpPr>
          <xdr:spPr>
            <a:xfrm>
              <a:off x="53340" y="3501097"/>
              <a:ext cx="1826455" cy="1500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28</xdr:row>
      <xdr:rowOff>137160</xdr:rowOff>
    </xdr:from>
    <xdr:to>
      <xdr:col>1</xdr:col>
      <xdr:colOff>304800</xdr:colOff>
      <xdr:row>34</xdr:row>
      <xdr:rowOff>15239</xdr:rowOff>
    </xdr:to>
    <mc:AlternateContent xmlns:mc="http://schemas.openxmlformats.org/markup-compatibility/2006" xmlns:a14="http://schemas.microsoft.com/office/drawing/2010/main">
      <mc:Choice Requires="a14">
        <xdr:graphicFrame macro="">
          <xdr:nvGraphicFramePr>
            <xdr:cNvPr id="28" name="Urgency_status 1">
              <a:extLst>
                <a:ext uri="{FF2B5EF4-FFF2-40B4-BE49-F238E27FC236}">
                  <a16:creationId xmlns:a16="http://schemas.microsoft.com/office/drawing/2014/main" id="{7653B114-63A3-69E4-2671-FB8E2C695323}"/>
                </a:ext>
              </a:extLst>
            </xdr:cNvPr>
            <xdr:cNvGraphicFramePr/>
          </xdr:nvGraphicFramePr>
          <xdr:xfrm>
            <a:off x="0" y="0"/>
            <a:ext cx="0" cy="0"/>
          </xdr:xfrm>
          <a:graphic>
            <a:graphicData uri="http://schemas.microsoft.com/office/drawing/2010/slicer">
              <sle:slicer xmlns:sle="http://schemas.microsoft.com/office/drawing/2010/slicer" name="Urgency_status 1"/>
            </a:graphicData>
          </a:graphic>
        </xdr:graphicFrame>
      </mc:Choice>
      <mc:Fallback xmlns="">
        <xdr:sp macro="" textlink="">
          <xdr:nvSpPr>
            <xdr:cNvPr id="0" name=""/>
            <xdr:cNvSpPr>
              <a:spLocks noTextEdit="1"/>
            </xdr:cNvSpPr>
          </xdr:nvSpPr>
          <xdr:spPr>
            <a:xfrm>
              <a:off x="60960" y="5334391"/>
              <a:ext cx="1826455" cy="991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99061</xdr:colOff>
      <xdr:row>0</xdr:row>
      <xdr:rowOff>38101</xdr:rowOff>
    </xdr:from>
    <xdr:to>
      <xdr:col>0</xdr:col>
      <xdr:colOff>251460</xdr:colOff>
      <xdr:row>2</xdr:row>
      <xdr:rowOff>150557</xdr:rowOff>
    </xdr:to>
    <xdr:pic>
      <xdr:nvPicPr>
        <xdr:cNvPr id="31" name="Graphic 30" descr="Man in a polo shirt">
          <a:extLst>
            <a:ext uri="{FF2B5EF4-FFF2-40B4-BE49-F238E27FC236}">
              <a16:creationId xmlns:a16="http://schemas.microsoft.com/office/drawing/2014/main" id="{4A90B608-7901-4B0D-9196-C9D88C3D893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9061" y="38101"/>
          <a:ext cx="152399" cy="478216"/>
        </a:xfrm>
        <a:prstGeom prst="rect">
          <a:avLst/>
        </a:prstGeom>
      </xdr:spPr>
    </xdr:pic>
    <xdr:clientData/>
  </xdr:twoCellAnchor>
  <xdr:twoCellAnchor editAs="oneCell">
    <xdr:from>
      <xdr:col>0</xdr:col>
      <xdr:colOff>165240</xdr:colOff>
      <xdr:row>0</xdr:row>
      <xdr:rowOff>96661</xdr:rowOff>
    </xdr:from>
    <xdr:to>
      <xdr:col>0</xdr:col>
      <xdr:colOff>383519</xdr:colOff>
      <xdr:row>3</xdr:row>
      <xdr:rowOff>38100</xdr:rowOff>
    </xdr:to>
    <xdr:pic>
      <xdr:nvPicPr>
        <xdr:cNvPr id="33" name="Graphic 32" descr="Woman in black skirt">
          <a:extLst>
            <a:ext uri="{FF2B5EF4-FFF2-40B4-BE49-F238E27FC236}">
              <a16:creationId xmlns:a16="http://schemas.microsoft.com/office/drawing/2014/main" id="{180BCD98-F5E3-1D04-9944-F128815C261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5240" y="96661"/>
          <a:ext cx="218279" cy="49007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Shree" refreshedDate="46182.555649074071" createdVersion="8" refreshedVersion="8" minRefreshableVersion="3" recordCount="958" xr:uid="{1BCE757F-3754-4A4D-9A68-6629300915AD}">
  <cacheSource type="worksheet">
    <worksheetSource name="Computed_insight___Success_of_active_sellers__2"/>
  </cacheSource>
  <cacheFields count="18">
    <cacheField name="index" numFmtId="0">
      <sharedItems containsSemiMixedTypes="0" containsString="0" containsNumber="1" containsInteger="1" minValue="0" maxValue="957"/>
    </cacheField>
    <cacheField name="merchantid" numFmtId="0">
      <sharedItems/>
    </cacheField>
    <cacheField name="listedproducts" numFmtId="0">
      <sharedItems containsSemiMixedTypes="0" containsString="0" containsNumber="1" containsInteger="1" minValue="1" maxValue="15"/>
    </cacheField>
    <cacheField name="totalunitssold" numFmtId="0">
      <sharedItems containsSemiMixedTypes="0" containsString="0" containsNumber="1" containsInteger="1" minValue="1" maxValue="120000" count="108">
        <n v="120000"/>
        <n v="107100"/>
        <n v="100007"/>
        <n v="100000"/>
        <n v="96000"/>
        <n v="90100"/>
        <n v="80000"/>
        <n v="75000"/>
        <n v="71100"/>
        <n v="63100"/>
        <n v="61000"/>
        <n v="60100"/>
        <n v="60000"/>
        <n v="58500"/>
        <n v="55200"/>
        <n v="55000"/>
        <n v="54300"/>
        <n v="50000"/>
        <n v="46000"/>
        <n v="43100"/>
        <n v="41100"/>
        <n v="41000"/>
        <n v="40000"/>
        <n v="36100"/>
        <n v="32000"/>
        <n v="31206"/>
        <n v="31000"/>
        <n v="30000"/>
        <n v="28100"/>
        <n v="27000"/>
        <n v="26100"/>
        <n v="26000"/>
        <n v="25200"/>
        <n v="25100"/>
        <n v="25000"/>
        <n v="22100"/>
        <n v="22000"/>
        <n v="21400"/>
        <n v="21100"/>
        <n v="21000"/>
        <n v="20300"/>
        <n v="20200"/>
        <n v="20100"/>
        <n v="20020"/>
        <n v="20000"/>
        <n v="17400"/>
        <n v="17000"/>
        <n v="16000"/>
        <n v="15100"/>
        <n v="15050"/>
        <n v="15000"/>
        <n v="13100"/>
        <n v="13000"/>
        <n v="12000"/>
        <n v="11200"/>
        <n v="11100"/>
        <n v="11000"/>
        <n v="10200"/>
        <n v="10100"/>
        <n v="10000"/>
        <n v="8000"/>
        <n v="7000"/>
        <n v="6200"/>
        <n v="6020"/>
        <n v="6010"/>
        <n v="6000"/>
        <n v="5400"/>
        <n v="5250"/>
        <n v="5200"/>
        <n v="5100"/>
        <n v="5000"/>
        <n v="4000"/>
        <n v="3200"/>
        <n v="3100"/>
        <n v="3000"/>
        <n v="2400"/>
        <n v="2300"/>
        <n v="2250"/>
        <n v="2200"/>
        <n v="2100"/>
        <n v="2000"/>
        <n v="1300"/>
        <n v="1200"/>
        <n v="1150"/>
        <n v="1100"/>
        <n v="1050"/>
        <n v="1000"/>
        <n v="500"/>
        <n v="400"/>
        <n v="350"/>
        <n v="300"/>
        <n v="250"/>
        <n v="200"/>
        <n v="150"/>
        <n v="120"/>
        <n v="103"/>
        <n v="100"/>
        <n v="60"/>
        <n v="50"/>
        <n v="30"/>
        <n v="24"/>
        <n v="20"/>
        <n v="10"/>
        <n v="8"/>
        <n v="7"/>
        <n v="3"/>
        <n v="2"/>
        <n v="1"/>
      </sharedItems>
    </cacheField>
    <cacheField name="meanunitssoldperproduct" numFmtId="0">
      <sharedItems containsSemiMixedTypes="0" containsString="0" containsNumber="1" containsInteger="1" minValue="1" maxValue="100000"/>
    </cacheField>
    <cacheField name="rating" numFmtId="0">
      <sharedItems containsSemiMixedTypes="0" containsString="0" containsNumber="1" minValue="2.3330000000000002" maxValue="5"/>
    </cacheField>
    <cacheField name="merchantratingscount" numFmtId="0">
      <sharedItems containsSemiMixedTypes="0" containsString="0" containsNumber="1" containsInteger="1" minValue="0" maxValue="2174765"/>
    </cacheField>
    <cacheField name="meanproductprices" numFmtId="0">
      <sharedItems containsSemiMixedTypes="0" containsString="0" containsNumber="1" minValue="1" maxValue="49"/>
    </cacheField>
    <cacheField name="meanretailprices" numFmtId="0">
      <sharedItems containsSemiMixedTypes="0" containsString="0" containsNumber="1" minValue="1" maxValue="252"/>
    </cacheField>
    <cacheField name="averagediscount" numFmtId="0">
      <sharedItems containsSemiMixedTypes="0" containsString="0" containsNumber="1" containsInteger="1" minValue="-18" maxValue="97"/>
    </cacheField>
    <cacheField name="meandiscount" numFmtId="0">
      <sharedItems containsSemiMixedTypes="0" containsString="0" containsNumber="1" minValue="-18" maxValue="97"/>
    </cacheField>
    <cacheField name="meanproductratingscount" numFmtId="0">
      <sharedItems containsSemiMixedTypes="0" containsString="0" containsNumber="1" containsInteger="1" minValue="0" maxValue="20744"/>
    </cacheField>
    <cacheField name="totalurgencycount" numFmtId="0">
      <sharedItems containsString="0" containsBlank="1" containsNumber="1" containsInteger="1" minValue="1" maxValue="6"/>
    </cacheField>
    <cacheField name="urgencytextrate" numFmtId="0">
      <sharedItems containsString="0" containsBlank="1" containsNumber="1" containsInteger="1" minValue="14" maxValue="100"/>
    </cacheField>
    <cacheField name="Merchant_tiers" numFmtId="0">
      <sharedItems count="4">
        <s v="Platinum "/>
        <s v="Gold "/>
        <s v="Silver "/>
        <s v="Bronze "/>
      </sharedItems>
    </cacheField>
    <cacheField name="Rating_Catagory" numFmtId="0">
      <sharedItems count="4">
        <s v="Good "/>
        <s v="Average"/>
        <s v="Poor "/>
        <s v="Excellent "/>
      </sharedItems>
    </cacheField>
    <cacheField name="Discount_Stratorgy" numFmtId="0">
      <sharedItems count="4">
        <s v="High "/>
        <s v="No Discount"/>
        <s v="Low "/>
        <s v="Medium "/>
      </sharedItems>
    </cacheField>
    <cacheField name="Urgency_status" numFmtId="0">
      <sharedItems count="2">
        <s v="Has Banner"/>
        <s v="No Banner"/>
      </sharedItems>
    </cacheField>
  </cacheFields>
  <extLst>
    <ext xmlns:x14="http://schemas.microsoft.com/office/spreadsheetml/2009/9/main" uri="{725AE2AE-9491-48be-B2B4-4EB974FC3084}">
      <x14:pivotCacheDefinition pivotCacheId="20895221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8">
  <r>
    <n v="0"/>
    <s v="5357bcf2bb72c5504882e889"/>
    <n v="2"/>
    <x v="0"/>
    <n v="60000"/>
    <n v="4.2190000000000003"/>
    <n v="320031"/>
    <n v="9"/>
    <n v="20"/>
    <n v="54"/>
    <n v="54"/>
    <n v="8836"/>
    <n v="1"/>
    <n v="50"/>
    <x v="0"/>
    <x v="0"/>
    <x v="0"/>
    <x v="0"/>
  </r>
  <r>
    <n v="1"/>
    <s v="5708773c3c02161b3f8c7900"/>
    <n v="5"/>
    <x v="1"/>
    <n v="21420"/>
    <n v="3.9340000000000002"/>
    <n v="139223"/>
    <n v="7.76"/>
    <n v="34.200000000000003"/>
    <n v="61"/>
    <n v="61"/>
    <n v="4010"/>
    <n v="3"/>
    <n v="60"/>
    <x v="0"/>
    <x v="1"/>
    <x v="0"/>
    <x v="0"/>
  </r>
  <r>
    <n v="2"/>
    <s v="5417aada4ad3ab27e954b76c"/>
    <n v="2"/>
    <x v="2"/>
    <n v="50004"/>
    <n v="4.0529999999999999"/>
    <n v="108048"/>
    <n v="8"/>
    <n v="8"/>
    <n v="-1"/>
    <n v="-1"/>
    <n v="5531"/>
    <m/>
    <m/>
    <x v="0"/>
    <x v="0"/>
    <x v="1"/>
    <x v="1"/>
  </r>
  <r>
    <n v="3"/>
    <s v="570f3a713a698c14278bb51e"/>
    <n v="1"/>
    <x v="3"/>
    <n v="100000"/>
    <n v="3.8889999999999998"/>
    <n v="19248"/>
    <n v="5.67"/>
    <n v="19"/>
    <n v="71"/>
    <n v="71"/>
    <n v="18393"/>
    <n v="1"/>
    <n v="100"/>
    <x v="0"/>
    <x v="1"/>
    <x v="0"/>
    <x v="0"/>
  </r>
  <r>
    <n v="4"/>
    <s v="53082ea15aefb07dfe1f2a4f"/>
    <n v="1"/>
    <x v="3"/>
    <n v="100000"/>
    <n v="4.0359999999999996"/>
    <n v="366898"/>
    <n v="5"/>
    <n v="33"/>
    <n v="85"/>
    <n v="85"/>
    <n v="13789"/>
    <m/>
    <m/>
    <x v="0"/>
    <x v="0"/>
    <x v="0"/>
    <x v="1"/>
  </r>
  <r>
    <n v="5"/>
    <s v="53f2beb39020ee03566d6e18"/>
    <n v="1"/>
    <x v="3"/>
    <n v="100000"/>
    <n v="4.0670000000000002"/>
    <n v="330405"/>
    <n v="5.77"/>
    <n v="48"/>
    <n v="88"/>
    <n v="88"/>
    <n v="20744"/>
    <m/>
    <m/>
    <x v="0"/>
    <x v="0"/>
    <x v="0"/>
    <x v="1"/>
  </r>
  <r>
    <n v="6"/>
    <s v="5926c5ace8ff5525241b368d"/>
    <n v="7"/>
    <x v="4"/>
    <n v="13714"/>
    <n v="4.1390000000000002"/>
    <n v="55499"/>
    <n v="6.69"/>
    <n v="6.29"/>
    <n v="-4"/>
    <n v="-3.86"/>
    <n v="2250"/>
    <n v="1"/>
    <n v="14"/>
    <x v="0"/>
    <x v="0"/>
    <x v="1"/>
    <x v="0"/>
  </r>
  <r>
    <n v="7"/>
    <s v="5860c757b1e41d4d67d183e8"/>
    <n v="4"/>
    <x v="5"/>
    <n v="22525"/>
    <n v="4.0490000000000004"/>
    <n v="151249"/>
    <n v="3.43"/>
    <n v="3.75"/>
    <n v="11"/>
    <n v="11"/>
    <n v="6290"/>
    <n v="2"/>
    <n v="50"/>
    <x v="0"/>
    <x v="0"/>
    <x v="2"/>
    <x v="0"/>
  </r>
  <r>
    <n v="8"/>
    <s v="52bd3ddb34067e4620a4c62d"/>
    <n v="3"/>
    <x v="6"/>
    <n v="26667"/>
    <n v="4.1040000000000001"/>
    <n v="839882"/>
    <n v="7.22"/>
    <n v="14.67"/>
    <n v="33"/>
    <n v="33.33"/>
    <n v="6136"/>
    <n v="1"/>
    <n v="33"/>
    <x v="0"/>
    <x v="0"/>
    <x v="3"/>
    <x v="0"/>
  </r>
  <r>
    <n v="9"/>
    <s v="5a7b23a69bda4e3d375e7b3f"/>
    <n v="5"/>
    <x v="6"/>
    <n v="16000"/>
    <n v="3.9660000000000002"/>
    <n v="12974"/>
    <n v="8.4"/>
    <n v="7.8"/>
    <n v="-7"/>
    <n v="-6.8"/>
    <n v="2093"/>
    <n v="1"/>
    <n v="20"/>
    <x v="0"/>
    <x v="1"/>
    <x v="1"/>
    <x v="0"/>
  </r>
  <r>
    <n v="10"/>
    <s v="53a2a09ad91139519161a267"/>
    <n v="3"/>
    <x v="7"/>
    <n v="25000"/>
    <n v="4.2560000000000002"/>
    <n v="165915"/>
    <n v="13.33"/>
    <n v="100.33"/>
    <n v="86"/>
    <n v="86"/>
    <n v="4007"/>
    <n v="1"/>
    <n v="33"/>
    <x v="0"/>
    <x v="0"/>
    <x v="0"/>
    <x v="0"/>
  </r>
  <r>
    <n v="11"/>
    <s v="539937d634067e06707b1a8e"/>
    <n v="4"/>
    <x v="8"/>
    <n v="17775"/>
    <n v="3.968"/>
    <n v="51369"/>
    <n v="11.5"/>
    <n v="86.25"/>
    <n v="87"/>
    <n v="87.25"/>
    <n v="6491"/>
    <n v="2"/>
    <n v="50"/>
    <x v="0"/>
    <x v="1"/>
    <x v="0"/>
    <x v="0"/>
  </r>
  <r>
    <n v="12"/>
    <s v="58ad449708de0c6dc59d9e06"/>
    <n v="6"/>
    <x v="9"/>
    <n v="10517"/>
    <n v="4.1470000000000002"/>
    <n v="126370"/>
    <n v="3.61"/>
    <n v="3.33"/>
    <n v="-4"/>
    <n v="-4.17"/>
    <n v="3292"/>
    <n v="1"/>
    <n v="17"/>
    <x v="0"/>
    <x v="0"/>
    <x v="1"/>
    <x v="0"/>
  </r>
  <r>
    <n v="13"/>
    <s v="56e43d9e3a698c3826a5feff"/>
    <n v="3"/>
    <x v="10"/>
    <n v="20333"/>
    <n v="4.1790000000000003"/>
    <n v="17816"/>
    <n v="8.67"/>
    <n v="8"/>
    <n v="-8"/>
    <n v="-8"/>
    <n v="5086"/>
    <n v="1"/>
    <n v="33"/>
    <x v="0"/>
    <x v="0"/>
    <x v="1"/>
    <x v="0"/>
  </r>
  <r>
    <n v="14"/>
    <s v="53aa664438d3046ee44a5024"/>
    <n v="4"/>
    <x v="11"/>
    <n v="15025"/>
    <n v="4.1280000000000001"/>
    <n v="151914"/>
    <n v="12.5"/>
    <n v="83"/>
    <n v="86"/>
    <n v="85.5"/>
    <n v="2517"/>
    <m/>
    <m/>
    <x v="0"/>
    <x v="0"/>
    <x v="0"/>
    <x v="1"/>
  </r>
  <r>
    <n v="15"/>
    <s v="53facca81c105e3d5866e212"/>
    <n v="3"/>
    <x v="12"/>
    <n v="20000"/>
    <n v="4.157"/>
    <n v="402743"/>
    <n v="9"/>
    <n v="114"/>
    <n v="58"/>
    <n v="57.67"/>
    <n v="3986"/>
    <n v="1"/>
    <n v="33"/>
    <x v="0"/>
    <x v="0"/>
    <x v="0"/>
    <x v="0"/>
  </r>
  <r>
    <n v="16"/>
    <s v="5384613a796f680f9d78a127"/>
    <n v="3"/>
    <x v="12"/>
    <n v="20000"/>
    <n v="4.3869999999999996"/>
    <n v="18910"/>
    <n v="16.329999999999998"/>
    <n v="14.33"/>
    <n v="-14"/>
    <n v="-13.67"/>
    <n v="3708"/>
    <m/>
    <m/>
    <x v="0"/>
    <x v="0"/>
    <x v="1"/>
    <x v="1"/>
  </r>
  <r>
    <n v="17"/>
    <s v="558c2cdc89d53c4005ea2920"/>
    <n v="15"/>
    <x v="13"/>
    <n v="3900"/>
    <n v="3.8849999999999998"/>
    <n v="32168"/>
    <n v="4.18"/>
    <n v="4.13"/>
    <n v="1"/>
    <n v="1.2"/>
    <n v="749"/>
    <n v="6"/>
    <n v="40"/>
    <x v="0"/>
    <x v="1"/>
    <x v="2"/>
    <x v="0"/>
  </r>
  <r>
    <n v="18"/>
    <s v="55c8a4c33a698c6010edcd9e"/>
    <n v="6"/>
    <x v="14"/>
    <n v="9200"/>
    <n v="4.1210000000000004"/>
    <n v="55670"/>
    <n v="5.39"/>
    <n v="5.17"/>
    <n v="-3"/>
    <n v="-2.67"/>
    <n v="1141"/>
    <n v="2"/>
    <n v="33"/>
    <x v="0"/>
    <x v="0"/>
    <x v="1"/>
    <x v="0"/>
  </r>
  <r>
    <n v="19"/>
    <s v="58106cfce516491e6e5f1e53"/>
    <n v="2"/>
    <x v="15"/>
    <n v="27500"/>
    <n v="4.1559999999999997"/>
    <n v="15538"/>
    <n v="5.5"/>
    <n v="5"/>
    <n v="-8"/>
    <n v="-8"/>
    <n v="5481"/>
    <n v="1"/>
    <n v="50"/>
    <x v="0"/>
    <x v="0"/>
    <x v="1"/>
    <x v="0"/>
  </r>
  <r>
    <n v="20"/>
    <s v="5acaf29d5ebcfd72403106a8"/>
    <n v="12"/>
    <x v="16"/>
    <n v="4525"/>
    <n v="4.0449999999999999"/>
    <n v="12309"/>
    <n v="5.56"/>
    <n v="5.17"/>
    <n v="-4"/>
    <n v="-4.33"/>
    <n v="512"/>
    <n v="4"/>
    <n v="33"/>
    <x v="0"/>
    <x v="0"/>
    <x v="1"/>
    <x v="0"/>
  </r>
  <r>
    <n v="21"/>
    <s v="54af9c1428565a151043b6bf"/>
    <n v="3"/>
    <x v="17"/>
    <n v="16667"/>
    <n v="4.0380000000000003"/>
    <n v="70773"/>
    <n v="8"/>
    <n v="7.33"/>
    <n v="-9"/>
    <n v="-9.33"/>
    <n v="5719"/>
    <n v="1"/>
    <n v="33"/>
    <x v="0"/>
    <x v="0"/>
    <x v="1"/>
    <x v="0"/>
  </r>
  <r>
    <n v="22"/>
    <s v="557ed5b886d66519ff242099"/>
    <n v="4"/>
    <x v="17"/>
    <n v="12500"/>
    <n v="4.1539999999999999"/>
    <n v="59903"/>
    <n v="7.12"/>
    <n v="6.5"/>
    <n v="-9"/>
    <n v="-9.25"/>
    <n v="2034"/>
    <n v="1"/>
    <n v="25"/>
    <x v="0"/>
    <x v="0"/>
    <x v="1"/>
    <x v="0"/>
  </r>
  <r>
    <n v="23"/>
    <s v="57568f454054c95cbd8d1619"/>
    <n v="1"/>
    <x v="17"/>
    <n v="50000"/>
    <n v="3.84"/>
    <n v="78307"/>
    <n v="8"/>
    <n v="54"/>
    <n v="86"/>
    <n v="86"/>
    <n v="14568"/>
    <m/>
    <m/>
    <x v="0"/>
    <x v="1"/>
    <x v="0"/>
    <x v="1"/>
  </r>
  <r>
    <n v="24"/>
    <s v="5652f4053a698c76dc9a3f37"/>
    <n v="1"/>
    <x v="17"/>
    <n v="50000"/>
    <n v="4.077"/>
    <n v="10194"/>
    <n v="7"/>
    <n v="6"/>
    <n v="-16"/>
    <n v="-16"/>
    <n v="6742"/>
    <m/>
    <m/>
    <x v="0"/>
    <x v="0"/>
    <x v="1"/>
    <x v="1"/>
  </r>
  <r>
    <n v="25"/>
    <s v="5542fcb264b4f014ce88ecae"/>
    <n v="1"/>
    <x v="17"/>
    <n v="50000"/>
    <n v="4.0949999999999998"/>
    <n v="13665"/>
    <n v="4"/>
    <n v="6"/>
    <n v="34"/>
    <n v="34"/>
    <n v="10927"/>
    <m/>
    <m/>
    <x v="0"/>
    <x v="0"/>
    <x v="3"/>
    <x v="1"/>
  </r>
  <r>
    <n v="26"/>
    <s v="58ad356108de0c6dc39d979d"/>
    <n v="1"/>
    <x v="17"/>
    <n v="50000"/>
    <n v="4.0949999999999998"/>
    <n v="11481"/>
    <n v="5"/>
    <n v="5"/>
    <n v="0"/>
    <n v="0"/>
    <n v="7088"/>
    <m/>
    <m/>
    <x v="0"/>
    <x v="0"/>
    <x v="1"/>
    <x v="1"/>
  </r>
  <r>
    <n v="27"/>
    <s v="544867549719cd33de1048d5"/>
    <n v="1"/>
    <x v="17"/>
    <n v="50000"/>
    <n v="4.0960000000000001"/>
    <n v="96276"/>
    <n v="5.7"/>
    <n v="58"/>
    <n v="91"/>
    <n v="91"/>
    <n v="8164"/>
    <m/>
    <m/>
    <x v="0"/>
    <x v="0"/>
    <x v="0"/>
    <x v="1"/>
  </r>
  <r>
    <n v="28"/>
    <s v="54bcaabb39b8c00b482a115f"/>
    <n v="1"/>
    <x v="17"/>
    <n v="50000"/>
    <n v="4.1050000000000004"/>
    <n v="59198"/>
    <n v="9"/>
    <n v="81"/>
    <n v="89"/>
    <n v="89"/>
    <n v="5359"/>
    <m/>
    <m/>
    <x v="0"/>
    <x v="0"/>
    <x v="0"/>
    <x v="1"/>
  </r>
  <r>
    <n v="29"/>
    <s v="58c0fff96ecaa3523d59a24d"/>
    <n v="1"/>
    <x v="17"/>
    <n v="50000"/>
    <n v="4.165"/>
    <n v="229199"/>
    <n v="2"/>
    <n v="2"/>
    <n v="0"/>
    <n v="0"/>
    <n v="7575"/>
    <m/>
    <m/>
    <x v="0"/>
    <x v="0"/>
    <x v="1"/>
    <x v="1"/>
  </r>
  <r>
    <n v="30"/>
    <s v="572d45c708fad86678ca1938"/>
    <n v="1"/>
    <x v="17"/>
    <n v="50000"/>
    <n v="4.2160000000000002"/>
    <n v="203805"/>
    <n v="4.66"/>
    <n v="11"/>
    <n v="58"/>
    <n v="58"/>
    <n v="10122"/>
    <m/>
    <m/>
    <x v="0"/>
    <x v="0"/>
    <x v="0"/>
    <x v="1"/>
  </r>
  <r>
    <n v="31"/>
    <s v="570b67d4a9dc12590be93b79"/>
    <n v="1"/>
    <x v="17"/>
    <n v="50000"/>
    <n v="4.2279999999999998"/>
    <n v="38264"/>
    <n v="6"/>
    <n v="6"/>
    <n v="0"/>
    <n v="0"/>
    <n v="12880"/>
    <m/>
    <m/>
    <x v="0"/>
    <x v="0"/>
    <x v="1"/>
    <x v="1"/>
  </r>
  <r>
    <n v="32"/>
    <s v="57e5db02e7f40f131adeeaf8"/>
    <n v="1"/>
    <x v="17"/>
    <n v="50000"/>
    <n v="4.3019999999999996"/>
    <n v="37076"/>
    <n v="9"/>
    <n v="8"/>
    <n v="-12"/>
    <n v="-12"/>
    <n v="13198"/>
    <m/>
    <m/>
    <x v="0"/>
    <x v="0"/>
    <x v="1"/>
    <x v="1"/>
  </r>
  <r>
    <n v="33"/>
    <s v="5639cd9bddb94f103070ef9f"/>
    <n v="6"/>
    <x v="18"/>
    <n v="7667"/>
    <n v="3.968"/>
    <n v="36361"/>
    <n v="8.5"/>
    <n v="41.83"/>
    <n v="67"/>
    <n v="67.17"/>
    <n v="1526"/>
    <n v="1"/>
    <n v="17"/>
    <x v="0"/>
    <x v="1"/>
    <x v="0"/>
    <x v="0"/>
  </r>
  <r>
    <n v="34"/>
    <s v="5533c83986ff95173dc017d0"/>
    <n v="8"/>
    <x v="19"/>
    <n v="5388"/>
    <n v="4.0810000000000004"/>
    <n v="88193"/>
    <n v="8.25"/>
    <n v="7.63"/>
    <n v="-8"/>
    <n v="-7.62"/>
    <n v="654"/>
    <n v="2"/>
    <n v="25"/>
    <x v="0"/>
    <x v="0"/>
    <x v="1"/>
    <x v="0"/>
  </r>
  <r>
    <n v="35"/>
    <s v="58fdedf645f9b210f58c00cc"/>
    <n v="4"/>
    <x v="20"/>
    <n v="10275"/>
    <n v="4.08"/>
    <n v="18877"/>
    <n v="7.47"/>
    <n v="20.25"/>
    <n v="17"/>
    <n v="16.75"/>
    <n v="2210"/>
    <n v="1"/>
    <n v="25"/>
    <x v="0"/>
    <x v="0"/>
    <x v="2"/>
    <x v="0"/>
  </r>
  <r>
    <n v="36"/>
    <s v="578866243a698c1713f2d19c"/>
    <n v="3"/>
    <x v="21"/>
    <n v="13667"/>
    <n v="4.2839999999999998"/>
    <n v="43676"/>
    <n v="5.33"/>
    <n v="5"/>
    <n v="-5"/>
    <n v="-4.67"/>
    <n v="5013"/>
    <m/>
    <m/>
    <x v="0"/>
    <x v="0"/>
    <x v="1"/>
    <x v="1"/>
  </r>
  <r>
    <n v="37"/>
    <s v="55c8029641d799421d41fe3a"/>
    <n v="4"/>
    <x v="21"/>
    <n v="10250"/>
    <n v="3.802"/>
    <n v="54504"/>
    <n v="7"/>
    <n v="8.75"/>
    <n v="17"/>
    <n v="17.25"/>
    <n v="1351"/>
    <m/>
    <m/>
    <x v="0"/>
    <x v="1"/>
    <x v="2"/>
    <x v="1"/>
  </r>
  <r>
    <n v="38"/>
    <s v="5c51b9b468178729c4213657"/>
    <n v="4"/>
    <x v="22"/>
    <n v="10000"/>
    <n v="4.109"/>
    <n v="16013"/>
    <n v="6.68"/>
    <n v="6.25"/>
    <n v="-3"/>
    <n v="-3.5"/>
    <n v="1177"/>
    <m/>
    <m/>
    <x v="0"/>
    <x v="0"/>
    <x v="1"/>
    <x v="1"/>
  </r>
  <r>
    <n v="39"/>
    <s v="576bbb443a698c085103c010"/>
    <n v="2"/>
    <x v="22"/>
    <n v="20000"/>
    <n v="4.1050000000000004"/>
    <n v="73701"/>
    <n v="9.5"/>
    <n v="34"/>
    <n v="73"/>
    <n v="73"/>
    <n v="7364"/>
    <m/>
    <m/>
    <x v="0"/>
    <x v="0"/>
    <x v="0"/>
    <x v="1"/>
  </r>
  <r>
    <n v="40"/>
    <s v="53db691bd911395c8b2f92be"/>
    <n v="2"/>
    <x v="22"/>
    <n v="20000"/>
    <n v="4.1369999999999996"/>
    <n v="17760"/>
    <n v="11"/>
    <n v="14"/>
    <n v="22"/>
    <n v="22"/>
    <n v="8029"/>
    <n v="1"/>
    <n v="50"/>
    <x v="0"/>
    <x v="0"/>
    <x v="2"/>
    <x v="0"/>
  </r>
  <r>
    <n v="41"/>
    <s v="5760bd976238335e38551943"/>
    <n v="2"/>
    <x v="22"/>
    <n v="20000"/>
    <n v="4.1680000000000001"/>
    <n v="19221"/>
    <n v="8"/>
    <n v="7"/>
    <n v="-14"/>
    <n v="-14"/>
    <n v="8904"/>
    <n v="1"/>
    <n v="50"/>
    <x v="0"/>
    <x v="0"/>
    <x v="1"/>
    <x v="0"/>
  </r>
  <r>
    <n v="42"/>
    <s v="564d8a9ac0f55a1276cd96f8"/>
    <n v="8"/>
    <x v="23"/>
    <n v="4513"/>
    <n v="4.1059999999999999"/>
    <n v="42919"/>
    <n v="6.55"/>
    <n v="23.75"/>
    <n v="46"/>
    <n v="46.13"/>
    <n v="644"/>
    <n v="5"/>
    <n v="63"/>
    <x v="0"/>
    <x v="0"/>
    <x v="3"/>
    <x v="0"/>
  </r>
  <r>
    <n v="43"/>
    <s v="566012f6769a5629aefca555"/>
    <n v="5"/>
    <x v="24"/>
    <n v="6400"/>
    <n v="4.0659999999999998"/>
    <n v="39381"/>
    <n v="10.8"/>
    <n v="23.8"/>
    <n v="7"/>
    <n v="7"/>
    <n v="1287"/>
    <n v="1"/>
    <n v="20"/>
    <x v="0"/>
    <x v="0"/>
    <x v="2"/>
    <x v="0"/>
  </r>
  <r>
    <n v="44"/>
    <s v="57b03628c676b3573ba2a081"/>
    <n v="6"/>
    <x v="25"/>
    <n v="5201"/>
    <n v="4.05"/>
    <n v="65189"/>
    <n v="7.67"/>
    <n v="16.829999999999998"/>
    <n v="39"/>
    <n v="39.17"/>
    <n v="815"/>
    <n v="3"/>
    <n v="50"/>
    <x v="0"/>
    <x v="0"/>
    <x v="3"/>
    <x v="0"/>
  </r>
  <r>
    <n v="45"/>
    <s v="559d33adc605853731afbf10"/>
    <n v="4"/>
    <x v="26"/>
    <n v="7750"/>
    <n v="4"/>
    <n v="13946"/>
    <n v="9.5"/>
    <n v="8.5"/>
    <n v="-12"/>
    <n v="-12"/>
    <n v="1495"/>
    <n v="1"/>
    <n v="25"/>
    <x v="0"/>
    <x v="0"/>
    <x v="1"/>
    <x v="0"/>
  </r>
  <r>
    <n v="46"/>
    <s v="58330d7def56284f7634e5e5"/>
    <n v="3"/>
    <x v="27"/>
    <n v="10000"/>
    <n v="3.9359999999999999"/>
    <n v="5816"/>
    <n v="11"/>
    <n v="10"/>
    <n v="-10"/>
    <n v="-10"/>
    <n v="1479"/>
    <n v="2"/>
    <n v="67"/>
    <x v="0"/>
    <x v="1"/>
    <x v="1"/>
    <x v="0"/>
  </r>
  <r>
    <n v="47"/>
    <s v="56dce88d21396a16a47eff39"/>
    <n v="3"/>
    <x v="27"/>
    <n v="10000"/>
    <n v="4.1879999999999997"/>
    <n v="80713"/>
    <n v="8"/>
    <n v="84"/>
    <n v="91"/>
    <n v="91"/>
    <n v="2971"/>
    <n v="1"/>
    <n v="33"/>
    <x v="0"/>
    <x v="0"/>
    <x v="0"/>
    <x v="0"/>
  </r>
  <r>
    <n v="48"/>
    <s v="5705e40cfda6252c1a9db062"/>
    <n v="3"/>
    <x v="27"/>
    <n v="10000"/>
    <n v="4.3099999999999996"/>
    <n v="78616"/>
    <n v="12.67"/>
    <n v="11.33"/>
    <n v="-11"/>
    <n v="-11.33"/>
    <n v="2641"/>
    <n v="2"/>
    <n v="67"/>
    <x v="0"/>
    <x v="0"/>
    <x v="1"/>
    <x v="0"/>
  </r>
  <r>
    <n v="49"/>
    <s v="5c74e493a0e25750b550e2a1"/>
    <n v="4"/>
    <x v="27"/>
    <n v="7500"/>
    <n v="4.09"/>
    <n v="14095"/>
    <n v="6"/>
    <n v="5.75"/>
    <n v="-2"/>
    <n v="-2.5"/>
    <n v="990"/>
    <n v="2"/>
    <n v="50"/>
    <x v="0"/>
    <x v="0"/>
    <x v="1"/>
    <x v="0"/>
  </r>
  <r>
    <n v="50"/>
    <s v="594756ab53ebe27caad41157"/>
    <n v="2"/>
    <x v="27"/>
    <n v="15000"/>
    <n v="3.903"/>
    <n v="25356"/>
    <n v="8.5"/>
    <n v="22"/>
    <n v="55"/>
    <n v="55"/>
    <n v="2348"/>
    <m/>
    <m/>
    <x v="0"/>
    <x v="1"/>
    <x v="0"/>
    <x v="1"/>
  </r>
  <r>
    <n v="51"/>
    <s v="576cfeed007b536be4a9ae96"/>
    <n v="2"/>
    <x v="27"/>
    <n v="15000"/>
    <n v="3.9990000000000001"/>
    <n v="45964"/>
    <n v="5.41"/>
    <n v="5.5"/>
    <n v="2"/>
    <n v="2"/>
    <n v="2493"/>
    <m/>
    <m/>
    <x v="0"/>
    <x v="1"/>
    <x v="2"/>
    <x v="1"/>
  </r>
  <r>
    <n v="52"/>
    <s v="583138b06339b410ab9663ec"/>
    <n v="9"/>
    <x v="28"/>
    <n v="3122"/>
    <n v="4.0069999999999997"/>
    <n v="80093"/>
    <n v="9.58"/>
    <n v="17.78"/>
    <n v="18"/>
    <n v="17.670000000000002"/>
    <n v="390"/>
    <n v="3"/>
    <n v="33"/>
    <x v="0"/>
    <x v="0"/>
    <x v="2"/>
    <x v="0"/>
  </r>
  <r>
    <n v="53"/>
    <s v="5c7893301bcc452c015b5de4"/>
    <n v="4"/>
    <x v="29"/>
    <n v="6750"/>
    <n v="3.9249999999999998"/>
    <n v="12441"/>
    <n v="10"/>
    <n v="9"/>
    <n v="-11"/>
    <n v="-11"/>
    <n v="984"/>
    <n v="1"/>
    <n v="25"/>
    <x v="0"/>
    <x v="1"/>
    <x v="1"/>
    <x v="0"/>
  </r>
  <r>
    <n v="54"/>
    <s v="5763e55cc6053f5e70522ad7"/>
    <n v="5"/>
    <x v="30"/>
    <n v="5220"/>
    <n v="3.9289999999999998"/>
    <n v="24564"/>
    <n v="7.76"/>
    <n v="21.8"/>
    <n v="17"/>
    <n v="16.8"/>
    <n v="1099"/>
    <n v="2"/>
    <n v="40"/>
    <x v="0"/>
    <x v="1"/>
    <x v="2"/>
    <x v="0"/>
  </r>
  <r>
    <n v="55"/>
    <s v="5aa1f31308a2240a052e9a1a"/>
    <n v="4"/>
    <x v="31"/>
    <n v="6500"/>
    <n v="3.8719999999999999"/>
    <n v="8821"/>
    <n v="10"/>
    <n v="8.75"/>
    <n v="-14"/>
    <n v="-14"/>
    <n v="1537"/>
    <n v="1"/>
    <n v="25"/>
    <x v="0"/>
    <x v="1"/>
    <x v="1"/>
    <x v="0"/>
  </r>
  <r>
    <n v="56"/>
    <s v="5cb636dda7173671aedef051"/>
    <n v="4"/>
    <x v="31"/>
    <n v="6500"/>
    <n v="4.2649999999999997"/>
    <n v="96838"/>
    <n v="6.34"/>
    <n v="5.5"/>
    <n v="-15"/>
    <n v="-15"/>
    <n v="959"/>
    <n v="2"/>
    <n v="50"/>
    <x v="0"/>
    <x v="0"/>
    <x v="1"/>
    <x v="0"/>
  </r>
  <r>
    <n v="57"/>
    <s v="5b160017daac45594728d9ba"/>
    <n v="6"/>
    <x v="32"/>
    <n v="4200"/>
    <n v="3.9089999999999998"/>
    <n v="10474"/>
    <n v="7.83"/>
    <n v="7.17"/>
    <n v="-8"/>
    <n v="-8.33"/>
    <n v="713"/>
    <n v="4"/>
    <n v="67"/>
    <x v="0"/>
    <x v="1"/>
    <x v="1"/>
    <x v="0"/>
  </r>
  <r>
    <n v="58"/>
    <s v="58d109c5e3830f6bcb47e35d"/>
    <n v="4"/>
    <x v="33"/>
    <n v="6275"/>
    <n v="3.9390000000000001"/>
    <n v="35262"/>
    <n v="7"/>
    <n v="21.75"/>
    <n v="42"/>
    <n v="41.5"/>
    <n v="948"/>
    <n v="1"/>
    <n v="25"/>
    <x v="0"/>
    <x v="1"/>
    <x v="3"/>
    <x v="0"/>
  </r>
  <r>
    <n v="59"/>
    <s v="5660e53e769a564b3e3aeca0"/>
    <n v="2"/>
    <x v="34"/>
    <n v="12500"/>
    <n v="3.9990000000000001"/>
    <n v="20681"/>
    <n v="9"/>
    <n v="8.5"/>
    <n v="-6"/>
    <n v="-6"/>
    <n v="2809"/>
    <n v="1"/>
    <n v="50"/>
    <x v="0"/>
    <x v="1"/>
    <x v="1"/>
    <x v="0"/>
  </r>
  <r>
    <n v="60"/>
    <s v="5800a8bb50d8ab5aaee15f20"/>
    <n v="2"/>
    <x v="34"/>
    <n v="12500"/>
    <n v="4.0949999999999998"/>
    <n v="11854"/>
    <n v="6.87"/>
    <n v="6"/>
    <n v="-14"/>
    <n v="-14"/>
    <n v="2130"/>
    <m/>
    <m/>
    <x v="0"/>
    <x v="0"/>
    <x v="1"/>
    <x v="1"/>
  </r>
  <r>
    <n v="61"/>
    <s v="55cc4e1d845591103477a561"/>
    <n v="4"/>
    <x v="35"/>
    <n v="5525"/>
    <n v="3.8719999999999999"/>
    <n v="22711"/>
    <n v="12.75"/>
    <n v="40.5"/>
    <n v="69"/>
    <n v="68.5"/>
    <n v="382"/>
    <n v="1"/>
    <n v="25"/>
    <x v="0"/>
    <x v="1"/>
    <x v="0"/>
    <x v="0"/>
  </r>
  <r>
    <n v="62"/>
    <s v="55ed5a3362e273427107759e"/>
    <n v="4"/>
    <x v="35"/>
    <n v="5525"/>
    <n v="3.9809999999999999"/>
    <n v="12913"/>
    <n v="11.25"/>
    <n v="29.25"/>
    <n v="25"/>
    <n v="25.25"/>
    <n v="972"/>
    <n v="1"/>
    <n v="25"/>
    <x v="0"/>
    <x v="1"/>
    <x v="3"/>
    <x v="0"/>
  </r>
  <r>
    <n v="63"/>
    <s v="5bd29797d32ed5241007af46"/>
    <n v="3"/>
    <x v="36"/>
    <n v="7333"/>
    <n v="3.8809999999999998"/>
    <n v="3771"/>
    <n v="8"/>
    <n v="7"/>
    <n v="-14"/>
    <n v="-14"/>
    <n v="766"/>
    <n v="1"/>
    <n v="33"/>
    <x v="0"/>
    <x v="1"/>
    <x v="1"/>
    <x v="0"/>
  </r>
  <r>
    <n v="64"/>
    <s v="5ba2251b4315d12ebce873fa"/>
    <n v="5"/>
    <x v="36"/>
    <n v="4400"/>
    <n v="4"/>
    <n v="5534"/>
    <n v="8.36"/>
    <n v="25.2"/>
    <n v="68"/>
    <n v="67.599999999999994"/>
    <n v="930"/>
    <n v="2"/>
    <n v="40"/>
    <x v="0"/>
    <x v="0"/>
    <x v="0"/>
    <x v="0"/>
  </r>
  <r>
    <n v="65"/>
    <s v="56458aa03a698c35c9050988"/>
    <n v="6"/>
    <x v="37"/>
    <n v="3567"/>
    <n v="3.9"/>
    <n v="17752"/>
    <n v="5.68"/>
    <n v="10.33"/>
    <n v="38"/>
    <n v="37.83"/>
    <n v="1057"/>
    <n v="3"/>
    <n v="50"/>
    <x v="0"/>
    <x v="1"/>
    <x v="3"/>
    <x v="0"/>
  </r>
  <r>
    <n v="66"/>
    <s v="58131ddf6f55296033923a7c"/>
    <n v="4"/>
    <x v="38"/>
    <n v="5275"/>
    <n v="4.2009999999999996"/>
    <n v="90105"/>
    <n v="13.25"/>
    <n v="93"/>
    <n v="86"/>
    <n v="86.25"/>
    <n v="1060"/>
    <n v="2"/>
    <n v="50"/>
    <x v="0"/>
    <x v="0"/>
    <x v="0"/>
    <x v="0"/>
  </r>
  <r>
    <n v="67"/>
    <s v="55769de4fa0be7249554bce2"/>
    <n v="2"/>
    <x v="39"/>
    <n v="10500"/>
    <n v="3.9980000000000002"/>
    <n v="40245"/>
    <n v="8.5"/>
    <n v="7.5"/>
    <n v="-13"/>
    <n v="-13"/>
    <n v="4913"/>
    <n v="1"/>
    <n v="50"/>
    <x v="0"/>
    <x v="1"/>
    <x v="1"/>
    <x v="0"/>
  </r>
  <r>
    <n v="68"/>
    <s v="58b011e82e27bf506cee1ace"/>
    <n v="2"/>
    <x v="39"/>
    <n v="10500"/>
    <n v="4.0229999999999997"/>
    <n v="5281"/>
    <n v="9.5"/>
    <n v="8.5"/>
    <n v="-12"/>
    <n v="-12"/>
    <n v="1127"/>
    <n v="2"/>
    <n v="100"/>
    <x v="0"/>
    <x v="0"/>
    <x v="1"/>
    <x v="0"/>
  </r>
  <r>
    <n v="69"/>
    <s v="53e03f56ff4d6d36d2285ab0"/>
    <n v="2"/>
    <x v="39"/>
    <n v="10500"/>
    <n v="4.069"/>
    <n v="25093"/>
    <n v="8"/>
    <n v="91"/>
    <n v="92"/>
    <n v="92"/>
    <n v="5277"/>
    <n v="1"/>
    <n v="50"/>
    <x v="0"/>
    <x v="0"/>
    <x v="0"/>
    <x v="0"/>
  </r>
  <r>
    <n v="70"/>
    <s v="59c8a909ae228e37ae159559"/>
    <n v="2"/>
    <x v="39"/>
    <n v="10500"/>
    <n v="4.085"/>
    <n v="15076"/>
    <n v="9"/>
    <n v="13"/>
    <n v="31"/>
    <n v="31"/>
    <n v="670"/>
    <n v="1"/>
    <n v="50"/>
    <x v="0"/>
    <x v="0"/>
    <x v="3"/>
    <x v="0"/>
  </r>
  <r>
    <n v="71"/>
    <s v="556fc80f95528719e004fe8b"/>
    <n v="2"/>
    <x v="39"/>
    <n v="10500"/>
    <n v="4.0990000000000002"/>
    <n v="40616"/>
    <n v="8.5"/>
    <n v="7.5"/>
    <n v="-13"/>
    <n v="-13"/>
    <n v="3514"/>
    <n v="1"/>
    <n v="50"/>
    <x v="0"/>
    <x v="0"/>
    <x v="1"/>
    <x v="0"/>
  </r>
  <r>
    <n v="72"/>
    <s v="563c5b3d05398a37780be2e2"/>
    <n v="2"/>
    <x v="39"/>
    <n v="10500"/>
    <n v="4.1900000000000004"/>
    <n v="8191"/>
    <n v="11.5"/>
    <n v="106"/>
    <n v="90"/>
    <n v="90"/>
    <n v="1711"/>
    <n v="1"/>
    <n v="50"/>
    <x v="0"/>
    <x v="0"/>
    <x v="0"/>
    <x v="0"/>
  </r>
  <r>
    <n v="73"/>
    <s v="577fb2b368116418674befd9"/>
    <n v="5"/>
    <x v="40"/>
    <n v="4060"/>
    <n v="4.1379999999999999"/>
    <n v="66644"/>
    <n v="5.61"/>
    <n v="5.2"/>
    <n v="-3"/>
    <n v="-3.2"/>
    <n v="747"/>
    <n v="2"/>
    <n v="40"/>
    <x v="0"/>
    <x v="0"/>
    <x v="1"/>
    <x v="0"/>
  </r>
  <r>
    <n v="74"/>
    <s v="5ab3b592c3911a095ad5dadb"/>
    <n v="3"/>
    <x v="41"/>
    <n v="6733"/>
    <n v="4.0019999999999998"/>
    <n v="14482"/>
    <n v="6.15"/>
    <n v="5.67"/>
    <n v="1"/>
    <n v="0.67"/>
    <n v="744"/>
    <n v="1"/>
    <n v="33"/>
    <x v="0"/>
    <x v="0"/>
    <x v="2"/>
    <x v="0"/>
  </r>
  <r>
    <n v="75"/>
    <s v="56455b13b15aab129db58cb7"/>
    <n v="3"/>
    <x v="41"/>
    <n v="6733"/>
    <n v="4.1550000000000002"/>
    <n v="16803"/>
    <n v="10.33"/>
    <n v="9"/>
    <n v="-15"/>
    <n v="-14.67"/>
    <n v="1056"/>
    <m/>
    <m/>
    <x v="0"/>
    <x v="0"/>
    <x v="1"/>
    <x v="1"/>
  </r>
  <r>
    <n v="76"/>
    <s v="5406c9c77f086e1be430d73e"/>
    <n v="5"/>
    <x v="41"/>
    <n v="4040"/>
    <n v="4.2039999999999997"/>
    <n v="246312"/>
    <n v="9.1999999999999993"/>
    <n v="9"/>
    <n v="-3"/>
    <n v="-2.8"/>
    <n v="847"/>
    <n v="2"/>
    <n v="40"/>
    <x v="0"/>
    <x v="0"/>
    <x v="1"/>
    <x v="0"/>
  </r>
  <r>
    <n v="77"/>
    <s v="59b7d6e1eea5c510889ea754"/>
    <n v="3"/>
    <x v="42"/>
    <n v="6700"/>
    <n v="3.8740000000000001"/>
    <n v="9177"/>
    <n v="7.67"/>
    <n v="18"/>
    <n v="58"/>
    <n v="57.67"/>
    <n v="1018"/>
    <n v="1"/>
    <n v="33"/>
    <x v="0"/>
    <x v="1"/>
    <x v="0"/>
    <x v="0"/>
  </r>
  <r>
    <n v="78"/>
    <s v="5b507899ab577736508a0782"/>
    <n v="3"/>
    <x v="42"/>
    <n v="6700"/>
    <n v="4.2249999999999996"/>
    <n v="5316"/>
    <n v="6.33"/>
    <n v="40.67"/>
    <n v="42"/>
    <n v="42.33"/>
    <n v="976"/>
    <m/>
    <m/>
    <x v="0"/>
    <x v="0"/>
    <x v="3"/>
    <x v="1"/>
  </r>
  <r>
    <n v="79"/>
    <s v="5810aa5bde5bf01b645c909e"/>
    <n v="2"/>
    <x v="42"/>
    <n v="10050"/>
    <n v="3.919"/>
    <n v="3791"/>
    <n v="3.38"/>
    <n v="3.5"/>
    <n v="4"/>
    <n v="4"/>
    <n v="876"/>
    <n v="1"/>
    <n v="50"/>
    <x v="0"/>
    <x v="1"/>
    <x v="2"/>
    <x v="0"/>
  </r>
  <r>
    <n v="80"/>
    <s v="56c6f731bc435416ed5984d7"/>
    <n v="2"/>
    <x v="42"/>
    <n v="10050"/>
    <n v="4.0170000000000003"/>
    <n v="40943"/>
    <n v="5.75"/>
    <n v="30.5"/>
    <n v="39"/>
    <n v="38.5"/>
    <n v="1516"/>
    <n v="1"/>
    <n v="50"/>
    <x v="0"/>
    <x v="0"/>
    <x v="3"/>
    <x v="0"/>
  </r>
  <r>
    <n v="81"/>
    <s v="5a018060448a526b450ddab8"/>
    <n v="2"/>
    <x v="42"/>
    <n v="10050"/>
    <n v="4.1529999999999996"/>
    <n v="8776"/>
    <n v="7.5"/>
    <n v="7"/>
    <n v="-6"/>
    <n v="-6"/>
    <n v="2696"/>
    <n v="1"/>
    <n v="50"/>
    <x v="0"/>
    <x v="0"/>
    <x v="1"/>
    <x v="0"/>
  </r>
  <r>
    <n v="82"/>
    <s v="57864d704d669274929898fb"/>
    <n v="3"/>
    <x v="43"/>
    <n v="6673"/>
    <n v="3.9249999999999998"/>
    <n v="32394"/>
    <n v="7.67"/>
    <n v="25.33"/>
    <n v="51"/>
    <n v="51.33"/>
    <n v="2872"/>
    <m/>
    <m/>
    <x v="0"/>
    <x v="1"/>
    <x v="0"/>
    <x v="1"/>
  </r>
  <r>
    <n v="83"/>
    <s v="584c23fbef56286074d2c9a6"/>
    <n v="3"/>
    <x v="44"/>
    <n v="6667"/>
    <n v="3.7320000000000002"/>
    <n v="3566"/>
    <n v="6.6"/>
    <n v="5.67"/>
    <n v="-16"/>
    <n v="-15.67"/>
    <n v="1243"/>
    <m/>
    <m/>
    <x v="0"/>
    <x v="1"/>
    <x v="1"/>
    <x v="1"/>
  </r>
  <r>
    <n v="84"/>
    <s v="5b1522ab7b94e12ee3d455c9"/>
    <n v="3"/>
    <x v="44"/>
    <n v="6667"/>
    <n v="3.85"/>
    <n v="4295"/>
    <n v="6.59"/>
    <n v="5.67"/>
    <n v="-16"/>
    <n v="-16"/>
    <n v="549"/>
    <n v="1"/>
    <n v="33"/>
    <x v="0"/>
    <x v="1"/>
    <x v="1"/>
    <x v="0"/>
  </r>
  <r>
    <n v="85"/>
    <s v="55e7e41e606d0a18fdfc67d1"/>
    <n v="3"/>
    <x v="44"/>
    <n v="6667"/>
    <n v="4.2679999999999998"/>
    <n v="61895"/>
    <n v="10"/>
    <n v="9"/>
    <n v="-11"/>
    <n v="-11.33"/>
    <n v="1325"/>
    <n v="1"/>
    <n v="33"/>
    <x v="0"/>
    <x v="0"/>
    <x v="1"/>
    <x v="0"/>
  </r>
  <r>
    <n v="86"/>
    <s v="583e7f658108913bced6f8cf"/>
    <n v="3"/>
    <x v="44"/>
    <n v="6667"/>
    <n v="4.29"/>
    <n v="9200"/>
    <n v="9"/>
    <n v="8"/>
    <n v="-13"/>
    <n v="-12.67"/>
    <n v="902"/>
    <n v="1"/>
    <n v="33"/>
    <x v="0"/>
    <x v="0"/>
    <x v="1"/>
    <x v="0"/>
  </r>
  <r>
    <n v="87"/>
    <s v="58216982dd9916453fe2d1a1"/>
    <n v="3"/>
    <x v="44"/>
    <n v="6667"/>
    <n v="4.2939999999999996"/>
    <n v="213709"/>
    <n v="5.91"/>
    <n v="27"/>
    <n v="77"/>
    <n v="77.33"/>
    <n v="1300"/>
    <n v="2"/>
    <n v="67"/>
    <x v="0"/>
    <x v="0"/>
    <x v="0"/>
    <x v="0"/>
  </r>
  <r>
    <n v="88"/>
    <s v="5803772d4dcf7942d7280c39"/>
    <n v="1"/>
    <x v="44"/>
    <n v="20000"/>
    <n v="3.915"/>
    <n v="14553"/>
    <n v="14"/>
    <n v="12"/>
    <n v="-16"/>
    <n v="-16"/>
    <n v="5891"/>
    <m/>
    <m/>
    <x v="0"/>
    <x v="1"/>
    <x v="1"/>
    <x v="1"/>
  </r>
  <r>
    <n v="89"/>
    <s v="5a200757518c1c4b34845a1f"/>
    <n v="1"/>
    <x v="44"/>
    <n v="20000"/>
    <n v="3.9620000000000002"/>
    <n v="21210"/>
    <n v="5.8"/>
    <n v="43"/>
    <n v="87"/>
    <n v="87"/>
    <n v="2407"/>
    <m/>
    <m/>
    <x v="0"/>
    <x v="1"/>
    <x v="0"/>
    <x v="1"/>
  </r>
  <r>
    <n v="90"/>
    <s v="537975ab71795104807b06b4"/>
    <n v="1"/>
    <x v="44"/>
    <n v="20000"/>
    <n v="3.9620000000000002"/>
    <n v="33839"/>
    <n v="11"/>
    <n v="20"/>
    <n v="45"/>
    <n v="45"/>
    <n v="3929"/>
    <m/>
    <m/>
    <x v="0"/>
    <x v="1"/>
    <x v="3"/>
    <x v="1"/>
  </r>
  <r>
    <n v="91"/>
    <s v="5810a3d4a70e0356e24d3c6c"/>
    <n v="1"/>
    <x v="44"/>
    <n v="20000"/>
    <n v="3.9990000000000001"/>
    <n v="12476"/>
    <n v="8"/>
    <n v="7"/>
    <n v="-14"/>
    <n v="-14"/>
    <n v="3761"/>
    <m/>
    <m/>
    <x v="0"/>
    <x v="1"/>
    <x v="1"/>
    <x v="1"/>
  </r>
  <r>
    <n v="92"/>
    <s v="5a72e56d9d5e975657c1460a"/>
    <n v="1"/>
    <x v="44"/>
    <n v="20000"/>
    <n v="4.0030000000000001"/>
    <n v="4336"/>
    <n v="11"/>
    <n v="19"/>
    <n v="43"/>
    <n v="43"/>
    <n v="2729"/>
    <m/>
    <m/>
    <x v="0"/>
    <x v="0"/>
    <x v="3"/>
    <x v="1"/>
  </r>
  <r>
    <n v="93"/>
    <s v="598d8d1e2afd354f6ef9950d"/>
    <n v="1"/>
    <x v="44"/>
    <n v="20000"/>
    <n v="4.0069999999999997"/>
    <n v="15106"/>
    <n v="9"/>
    <n v="50"/>
    <n v="82"/>
    <n v="82"/>
    <n v="2440"/>
    <m/>
    <m/>
    <x v="0"/>
    <x v="0"/>
    <x v="0"/>
    <x v="1"/>
  </r>
  <r>
    <n v="94"/>
    <s v="570b68b9e902df590e48d196"/>
    <n v="1"/>
    <x v="44"/>
    <n v="20000"/>
    <n v="4.0170000000000003"/>
    <n v="11965"/>
    <n v="11"/>
    <n v="84"/>
    <n v="87"/>
    <n v="87"/>
    <n v="3572"/>
    <n v="1"/>
    <n v="100"/>
    <x v="0"/>
    <x v="0"/>
    <x v="0"/>
    <x v="0"/>
  </r>
  <r>
    <n v="95"/>
    <s v="56d813f66d64ff168ab1bfac"/>
    <n v="1"/>
    <x v="44"/>
    <n v="20000"/>
    <n v="4.0469999999999997"/>
    <n v="56999"/>
    <n v="3.79"/>
    <n v="49"/>
    <n v="93"/>
    <n v="93"/>
    <n v="8412"/>
    <m/>
    <m/>
    <x v="0"/>
    <x v="0"/>
    <x v="0"/>
    <x v="1"/>
  </r>
  <r>
    <n v="96"/>
    <s v="57a995f564fa71286bac2109"/>
    <n v="1"/>
    <x v="44"/>
    <n v="20000"/>
    <n v="4.0640000000000001"/>
    <n v="43742"/>
    <n v="7"/>
    <n v="11"/>
    <n v="37"/>
    <n v="37"/>
    <n v="6510"/>
    <m/>
    <m/>
    <x v="0"/>
    <x v="0"/>
    <x v="3"/>
    <x v="1"/>
  </r>
  <r>
    <n v="97"/>
    <s v="5368f053bb72c5150191a140"/>
    <n v="1"/>
    <x v="44"/>
    <n v="20000"/>
    <n v="4.0650000000000004"/>
    <n v="15748"/>
    <n v="9"/>
    <n v="8"/>
    <n v="-12"/>
    <n v="-12"/>
    <n v="3820"/>
    <m/>
    <m/>
    <x v="0"/>
    <x v="0"/>
    <x v="1"/>
    <x v="1"/>
  </r>
  <r>
    <n v="98"/>
    <s v="5c80bd2ab1ad6a6fc52a7eb3"/>
    <n v="1"/>
    <x v="44"/>
    <n v="20000"/>
    <n v="4.07"/>
    <n v="3271"/>
    <n v="7"/>
    <n v="6"/>
    <n v="-16"/>
    <n v="-16"/>
    <n v="2464"/>
    <m/>
    <m/>
    <x v="0"/>
    <x v="0"/>
    <x v="1"/>
    <x v="1"/>
  </r>
  <r>
    <n v="99"/>
    <s v="59c0e0168696be51cef38e93"/>
    <n v="1"/>
    <x v="44"/>
    <n v="20000"/>
    <n v="4.0730000000000004"/>
    <n v="6714"/>
    <n v="6"/>
    <n v="6"/>
    <n v="0"/>
    <n v="0"/>
    <n v="2706"/>
    <n v="1"/>
    <n v="100"/>
    <x v="0"/>
    <x v="0"/>
    <x v="1"/>
    <x v="0"/>
  </r>
  <r>
    <n v="100"/>
    <s v="59cdc2112351344fc0dfa54f"/>
    <n v="1"/>
    <x v="44"/>
    <n v="20000"/>
    <n v="4.0819999999999999"/>
    <n v="22089"/>
    <n v="9"/>
    <n v="9"/>
    <n v="0"/>
    <n v="0"/>
    <n v="5479"/>
    <m/>
    <m/>
    <x v="0"/>
    <x v="0"/>
    <x v="1"/>
    <x v="1"/>
  </r>
  <r>
    <n v="101"/>
    <s v="55af776cc982de2775ba26d2"/>
    <n v="1"/>
    <x v="44"/>
    <n v="20000"/>
    <n v="4.0839999999999996"/>
    <n v="15006"/>
    <n v="8"/>
    <n v="59"/>
    <n v="87"/>
    <n v="87"/>
    <n v="5929"/>
    <m/>
    <m/>
    <x v="0"/>
    <x v="0"/>
    <x v="0"/>
    <x v="1"/>
  </r>
  <r>
    <n v="102"/>
    <s v="555f4174a4efd10ea5ebaa5f"/>
    <n v="1"/>
    <x v="44"/>
    <n v="20000"/>
    <n v="4.0970000000000004"/>
    <n v="200089"/>
    <n v="13"/>
    <n v="30"/>
    <n v="57"/>
    <n v="57"/>
    <n v="3421"/>
    <n v="1"/>
    <n v="100"/>
    <x v="0"/>
    <x v="0"/>
    <x v="0"/>
    <x v="0"/>
  </r>
  <r>
    <n v="103"/>
    <s v="59df389c88dd76239f03c701"/>
    <n v="1"/>
    <x v="44"/>
    <n v="20000"/>
    <n v="4.0970000000000004"/>
    <n v="4107"/>
    <n v="22"/>
    <n v="19"/>
    <n v="-15"/>
    <n v="-15"/>
    <n v="1103"/>
    <m/>
    <m/>
    <x v="0"/>
    <x v="0"/>
    <x v="1"/>
    <x v="1"/>
  </r>
  <r>
    <n v="104"/>
    <s v="5756d060b833235cbc250227"/>
    <n v="1"/>
    <x v="44"/>
    <n v="20000"/>
    <n v="4.0970000000000004"/>
    <n v="45964"/>
    <n v="13"/>
    <n v="252"/>
    <n v="95"/>
    <n v="95"/>
    <n v="12041"/>
    <m/>
    <m/>
    <x v="0"/>
    <x v="0"/>
    <x v="0"/>
    <x v="1"/>
  </r>
  <r>
    <n v="105"/>
    <s v="54869f80546ead6e5b318f5b"/>
    <n v="1"/>
    <x v="44"/>
    <n v="20000"/>
    <n v="4.1120000000000001"/>
    <n v="30892"/>
    <n v="12"/>
    <n v="11"/>
    <n v="-9"/>
    <n v="-9"/>
    <n v="5351"/>
    <m/>
    <m/>
    <x v="0"/>
    <x v="0"/>
    <x v="1"/>
    <x v="1"/>
  </r>
  <r>
    <n v="106"/>
    <s v="5acf2091cd968d299afe79a3"/>
    <n v="1"/>
    <x v="44"/>
    <n v="20000"/>
    <n v="4.1139999999999999"/>
    <n v="11740"/>
    <n v="6"/>
    <n v="6"/>
    <n v="0"/>
    <n v="0"/>
    <n v="6509"/>
    <m/>
    <m/>
    <x v="0"/>
    <x v="0"/>
    <x v="1"/>
    <x v="1"/>
  </r>
  <r>
    <n v="107"/>
    <s v="580dd6425250a21944205a36"/>
    <n v="1"/>
    <x v="44"/>
    <n v="20000"/>
    <n v="4.1189999999999998"/>
    <n v="4646"/>
    <n v="5.87"/>
    <n v="5"/>
    <n v="-17"/>
    <n v="-17"/>
    <n v="4137"/>
    <m/>
    <m/>
    <x v="0"/>
    <x v="0"/>
    <x v="1"/>
    <x v="1"/>
  </r>
  <r>
    <n v="108"/>
    <s v="57aeb5fb5a4ac218de83b64d"/>
    <n v="1"/>
    <x v="44"/>
    <n v="20000"/>
    <n v="4.13"/>
    <n v="9492"/>
    <n v="8"/>
    <n v="7"/>
    <n v="-14"/>
    <n v="-14"/>
    <n v="3700"/>
    <m/>
    <m/>
    <x v="0"/>
    <x v="0"/>
    <x v="1"/>
    <x v="1"/>
  </r>
  <r>
    <n v="109"/>
    <s v="58b26eaa01c02f5114ac2ae9"/>
    <n v="1"/>
    <x v="44"/>
    <n v="20000"/>
    <n v="4.1470000000000002"/>
    <n v="21892"/>
    <n v="8"/>
    <n v="7"/>
    <n v="-14"/>
    <n v="-14"/>
    <n v="3090"/>
    <m/>
    <m/>
    <x v="0"/>
    <x v="0"/>
    <x v="1"/>
    <x v="1"/>
  </r>
  <r>
    <n v="110"/>
    <s v="5c0232c1d9333c676958674e"/>
    <n v="1"/>
    <x v="44"/>
    <n v="20000"/>
    <n v="4.165"/>
    <n v="8501"/>
    <n v="7"/>
    <n v="6"/>
    <n v="-16"/>
    <n v="-16"/>
    <n v="2019"/>
    <n v="1"/>
    <n v="100"/>
    <x v="0"/>
    <x v="0"/>
    <x v="1"/>
    <x v="0"/>
  </r>
  <r>
    <n v="111"/>
    <s v="595b54fcd44a9b1180cb102b"/>
    <n v="1"/>
    <x v="44"/>
    <n v="20000"/>
    <n v="4.1680000000000001"/>
    <n v="49327"/>
    <n v="9"/>
    <n v="36"/>
    <n v="75"/>
    <n v="75"/>
    <n v="4345"/>
    <m/>
    <m/>
    <x v="0"/>
    <x v="0"/>
    <x v="0"/>
    <x v="1"/>
  </r>
  <r>
    <n v="112"/>
    <s v="5b2620ddd1c360688799eb51"/>
    <n v="1"/>
    <x v="44"/>
    <n v="20000"/>
    <n v="4.1840000000000002"/>
    <n v="6555"/>
    <n v="5.78"/>
    <n v="8"/>
    <n v="28"/>
    <n v="28"/>
    <n v="3975"/>
    <m/>
    <m/>
    <x v="0"/>
    <x v="0"/>
    <x v="3"/>
    <x v="1"/>
  </r>
  <r>
    <n v="113"/>
    <s v="58df45e5795cf052ae1c2142"/>
    <n v="1"/>
    <x v="44"/>
    <n v="20000"/>
    <n v="4.1959999999999997"/>
    <n v="8205"/>
    <n v="5.66"/>
    <n v="5"/>
    <n v="-13"/>
    <n v="-13"/>
    <n v="2927"/>
    <m/>
    <m/>
    <x v="0"/>
    <x v="0"/>
    <x v="1"/>
    <x v="1"/>
  </r>
  <r>
    <n v="114"/>
    <s v="57820e33ea637711873c1618"/>
    <n v="1"/>
    <x v="44"/>
    <n v="20000"/>
    <n v="4.1959999999999997"/>
    <n v="4570"/>
    <n v="3.65"/>
    <n v="4"/>
    <n v="9"/>
    <n v="9"/>
    <n v="4215"/>
    <m/>
    <m/>
    <x v="0"/>
    <x v="0"/>
    <x v="2"/>
    <x v="1"/>
  </r>
  <r>
    <n v="115"/>
    <s v="57edcd19252c15203b411d82"/>
    <n v="1"/>
    <x v="44"/>
    <n v="20000"/>
    <n v="4.1970000000000001"/>
    <n v="127966"/>
    <n v="5.71"/>
    <n v="84"/>
    <n v="94"/>
    <n v="94"/>
    <n v="4657"/>
    <n v="1"/>
    <n v="100"/>
    <x v="0"/>
    <x v="0"/>
    <x v="0"/>
    <x v="0"/>
  </r>
  <r>
    <n v="116"/>
    <s v="58183b4ea642e03dc54eda6e"/>
    <n v="1"/>
    <x v="44"/>
    <n v="20000"/>
    <n v="4.2050000000000001"/>
    <n v="48654"/>
    <n v="8"/>
    <n v="84"/>
    <n v="91"/>
    <n v="91"/>
    <n v="8960"/>
    <n v="1"/>
    <n v="100"/>
    <x v="0"/>
    <x v="0"/>
    <x v="0"/>
    <x v="0"/>
  </r>
  <r>
    <n v="117"/>
    <s v="542a670d4f66d92eba599455"/>
    <n v="1"/>
    <x v="44"/>
    <n v="20000"/>
    <n v="4.2089999999999996"/>
    <n v="32923"/>
    <n v="8"/>
    <n v="7"/>
    <n v="-14"/>
    <n v="-14"/>
    <n v="5781"/>
    <m/>
    <m/>
    <x v="0"/>
    <x v="0"/>
    <x v="1"/>
    <x v="1"/>
  </r>
  <r>
    <n v="118"/>
    <s v="584fd5cbd67ff04c93c70560"/>
    <n v="1"/>
    <x v="44"/>
    <n v="20000"/>
    <n v="4.26"/>
    <n v="10269"/>
    <n v="5"/>
    <n v="5"/>
    <n v="0"/>
    <n v="0"/>
    <n v="7773"/>
    <m/>
    <m/>
    <x v="0"/>
    <x v="0"/>
    <x v="1"/>
    <x v="1"/>
  </r>
  <r>
    <n v="119"/>
    <s v="53208a086fa88c662a693514"/>
    <n v="1"/>
    <x v="44"/>
    <n v="20000"/>
    <n v="4.2880000000000003"/>
    <n v="44067"/>
    <n v="13"/>
    <n v="11"/>
    <n v="-18"/>
    <n v="-18"/>
    <n v="4378"/>
    <n v="1"/>
    <n v="100"/>
    <x v="0"/>
    <x v="0"/>
    <x v="1"/>
    <x v="0"/>
  </r>
  <r>
    <n v="120"/>
    <s v="58be502223167e61443f4d92"/>
    <n v="1"/>
    <x v="44"/>
    <n v="20000"/>
    <n v="4.2919999999999998"/>
    <n v="4448"/>
    <n v="11"/>
    <n v="10"/>
    <n v="-10"/>
    <n v="-10"/>
    <n v="3648"/>
    <m/>
    <m/>
    <x v="0"/>
    <x v="0"/>
    <x v="1"/>
    <x v="1"/>
  </r>
  <r>
    <n v="121"/>
    <s v="57875ba40cb30d38ba46f57d"/>
    <n v="1"/>
    <x v="44"/>
    <n v="20000"/>
    <n v="4.3099999999999996"/>
    <n v="58068"/>
    <n v="11"/>
    <n v="37"/>
    <n v="71"/>
    <n v="71"/>
    <n v="7596"/>
    <n v="1"/>
    <n v="100"/>
    <x v="0"/>
    <x v="0"/>
    <x v="0"/>
    <x v="0"/>
  </r>
  <r>
    <n v="122"/>
    <s v="5487c9b1b9b7e705069489fb"/>
    <n v="1"/>
    <x v="44"/>
    <n v="20000"/>
    <n v="4.319"/>
    <n v="12304"/>
    <n v="5.88"/>
    <n v="9"/>
    <n v="35"/>
    <n v="35"/>
    <n v="6450"/>
    <m/>
    <m/>
    <x v="0"/>
    <x v="0"/>
    <x v="3"/>
    <x v="1"/>
  </r>
  <r>
    <n v="123"/>
    <s v="55e7ed3230a9764b0761fc82"/>
    <n v="1"/>
    <x v="44"/>
    <n v="20000"/>
    <n v="4.3209999999999997"/>
    <n v="68022"/>
    <n v="2.65"/>
    <n v="3"/>
    <n v="12"/>
    <n v="12"/>
    <n v="3443"/>
    <m/>
    <m/>
    <x v="0"/>
    <x v="0"/>
    <x v="2"/>
    <x v="1"/>
  </r>
  <r>
    <n v="124"/>
    <s v="54898f4c223ebf1cd713fdc2"/>
    <n v="1"/>
    <x v="44"/>
    <n v="20000"/>
    <n v="4.33"/>
    <n v="295161"/>
    <n v="19"/>
    <n v="105"/>
    <n v="82"/>
    <n v="82"/>
    <n v="3787"/>
    <m/>
    <m/>
    <x v="0"/>
    <x v="0"/>
    <x v="0"/>
    <x v="1"/>
  </r>
  <r>
    <n v="125"/>
    <s v="57ff8c180fb8e31870c27d68"/>
    <n v="1"/>
    <x v="44"/>
    <n v="20000"/>
    <n v="4.4480000000000004"/>
    <n v="6719"/>
    <n v="8"/>
    <n v="75"/>
    <n v="90"/>
    <n v="90"/>
    <n v="5254"/>
    <n v="1"/>
    <n v="100"/>
    <x v="0"/>
    <x v="0"/>
    <x v="0"/>
    <x v="0"/>
  </r>
  <r>
    <n v="126"/>
    <s v="54b8872d40b37856baa55e38"/>
    <n v="1"/>
    <x v="44"/>
    <n v="20000"/>
    <n v="4.4619999999999997"/>
    <n v="100789"/>
    <n v="3.66"/>
    <n v="4"/>
    <n v="9"/>
    <n v="9"/>
    <n v="5882"/>
    <m/>
    <m/>
    <x v="0"/>
    <x v="0"/>
    <x v="2"/>
    <x v="1"/>
  </r>
  <r>
    <n v="127"/>
    <s v="5770ca6694fc5029d02c368a"/>
    <n v="2"/>
    <x v="44"/>
    <n v="10000"/>
    <n v="3.9009999999999998"/>
    <n v="12006"/>
    <n v="8"/>
    <n v="7"/>
    <n v="-14"/>
    <n v="-14"/>
    <n v="2069"/>
    <n v="1"/>
    <n v="50"/>
    <x v="0"/>
    <x v="1"/>
    <x v="1"/>
    <x v="0"/>
  </r>
  <r>
    <n v="128"/>
    <s v="5810c46f02b01e15f8a10e38"/>
    <n v="2"/>
    <x v="44"/>
    <n v="10000"/>
    <n v="3.9380000000000002"/>
    <n v="7314"/>
    <n v="5.93"/>
    <n v="5.5"/>
    <n v="-8"/>
    <n v="-8.5"/>
    <n v="787"/>
    <n v="1"/>
    <n v="50"/>
    <x v="0"/>
    <x v="1"/>
    <x v="1"/>
    <x v="0"/>
  </r>
  <r>
    <n v="129"/>
    <s v="561dc58d1f1ffb54d008b82f"/>
    <n v="2"/>
    <x v="44"/>
    <n v="10000"/>
    <n v="4.1440000000000001"/>
    <n v="110548"/>
    <n v="7"/>
    <n v="12"/>
    <n v="26"/>
    <n v="25.5"/>
    <n v="2911"/>
    <m/>
    <m/>
    <x v="0"/>
    <x v="0"/>
    <x v="3"/>
    <x v="1"/>
  </r>
  <r>
    <n v="130"/>
    <s v="591c4e7f1a071f13df7a63ff"/>
    <n v="2"/>
    <x v="44"/>
    <n v="10000"/>
    <n v="4.1680000000000001"/>
    <n v="2050"/>
    <n v="8"/>
    <n v="140"/>
    <n v="95"/>
    <n v="95"/>
    <n v="1910"/>
    <n v="1"/>
    <n v="50"/>
    <x v="0"/>
    <x v="0"/>
    <x v="0"/>
    <x v="0"/>
  </r>
  <r>
    <n v="131"/>
    <s v="53e442474497c57e900d7c64"/>
    <n v="2"/>
    <x v="44"/>
    <n v="10000"/>
    <n v="4.194"/>
    <n v="3665"/>
    <n v="8"/>
    <n v="16"/>
    <n v="50"/>
    <n v="50"/>
    <n v="1589"/>
    <n v="1"/>
    <n v="50"/>
    <x v="0"/>
    <x v="0"/>
    <x v="3"/>
    <x v="0"/>
  </r>
  <r>
    <n v="132"/>
    <s v="54125ab34ad3ab158c0f72d9"/>
    <n v="2"/>
    <x v="44"/>
    <n v="10000"/>
    <n v="4.2359999999999998"/>
    <n v="190918"/>
    <n v="11"/>
    <n v="10"/>
    <n v="-10"/>
    <n v="-10"/>
    <n v="1717"/>
    <n v="1"/>
    <n v="50"/>
    <x v="0"/>
    <x v="0"/>
    <x v="1"/>
    <x v="0"/>
  </r>
  <r>
    <n v="133"/>
    <s v="570d017b1b4ca758e18e407d"/>
    <n v="2"/>
    <x v="44"/>
    <n v="10000"/>
    <n v="4.2439999999999998"/>
    <n v="10258"/>
    <n v="8"/>
    <n v="7"/>
    <n v="-14"/>
    <n v="-14"/>
    <n v="2438"/>
    <m/>
    <m/>
    <x v="0"/>
    <x v="0"/>
    <x v="1"/>
    <x v="1"/>
  </r>
  <r>
    <n v="134"/>
    <s v="5826f19f20a9402c37313979"/>
    <n v="2"/>
    <x v="44"/>
    <n v="10000"/>
    <n v="4.3070000000000004"/>
    <n v="5808"/>
    <n v="9"/>
    <n v="10"/>
    <n v="10"/>
    <n v="10"/>
    <n v="2587"/>
    <n v="1"/>
    <n v="50"/>
    <x v="0"/>
    <x v="0"/>
    <x v="2"/>
    <x v="0"/>
  </r>
  <r>
    <n v="135"/>
    <s v="582833faea77701b456c786a"/>
    <n v="8"/>
    <x v="45"/>
    <n v="2175"/>
    <n v="3.8679999999999999"/>
    <n v="10600"/>
    <n v="5.45"/>
    <n v="5.38"/>
    <n v="0"/>
    <n v="-0.12"/>
    <n v="326"/>
    <n v="2"/>
    <n v="25"/>
    <x v="1"/>
    <x v="1"/>
    <x v="1"/>
    <x v="0"/>
  </r>
  <r>
    <n v="136"/>
    <s v="59aaa4d39fbc514dc80328e3"/>
    <n v="4"/>
    <x v="46"/>
    <n v="4250"/>
    <n v="3.899"/>
    <n v="17120"/>
    <n v="10"/>
    <n v="17.5"/>
    <n v="27"/>
    <n v="26.75"/>
    <n v="571"/>
    <n v="2"/>
    <n v="50"/>
    <x v="1"/>
    <x v="1"/>
    <x v="3"/>
    <x v="0"/>
  </r>
  <r>
    <n v="137"/>
    <s v="5b14d31d7e43f22f255ea98c"/>
    <n v="3"/>
    <x v="47"/>
    <n v="5333"/>
    <n v="4.1900000000000004"/>
    <n v="21012"/>
    <n v="3.83"/>
    <n v="38"/>
    <n v="89"/>
    <n v="89.33"/>
    <n v="1330"/>
    <m/>
    <m/>
    <x v="1"/>
    <x v="0"/>
    <x v="0"/>
    <x v="1"/>
  </r>
  <r>
    <n v="138"/>
    <s v="5406cabdc5c2464980dc6314"/>
    <n v="4"/>
    <x v="48"/>
    <n v="3775"/>
    <n v="4.1669999999999998"/>
    <n v="139788"/>
    <n v="7.25"/>
    <n v="23.5"/>
    <n v="47"/>
    <n v="46.5"/>
    <n v="772"/>
    <n v="1"/>
    <n v="25"/>
    <x v="1"/>
    <x v="0"/>
    <x v="3"/>
    <x v="0"/>
  </r>
  <r>
    <n v="139"/>
    <s v="5ae90e716691361cdb40fb0b"/>
    <n v="4"/>
    <x v="48"/>
    <n v="3775"/>
    <n v="4.2750000000000004"/>
    <n v="5781"/>
    <n v="8.25"/>
    <n v="22.5"/>
    <n v="50"/>
    <n v="49.5"/>
    <n v="683"/>
    <n v="1"/>
    <n v="25"/>
    <x v="1"/>
    <x v="0"/>
    <x v="3"/>
    <x v="0"/>
  </r>
  <r>
    <n v="140"/>
    <s v="5784d339e8aa8938977fefd0"/>
    <n v="3"/>
    <x v="49"/>
    <n v="5017"/>
    <n v="4.1459999999999999"/>
    <n v="21485"/>
    <n v="8.33"/>
    <n v="17.670000000000002"/>
    <n v="31"/>
    <n v="30.67"/>
    <n v="965"/>
    <m/>
    <m/>
    <x v="1"/>
    <x v="0"/>
    <x v="3"/>
    <x v="1"/>
  </r>
  <r>
    <n v="141"/>
    <s v="5c73a50ba0e25714e7f2bf90"/>
    <n v="2"/>
    <x v="50"/>
    <n v="7500"/>
    <n v="3.9380000000000002"/>
    <n v="4178"/>
    <n v="8"/>
    <n v="7"/>
    <n v="-14"/>
    <n v="-14"/>
    <n v="1074"/>
    <m/>
    <m/>
    <x v="1"/>
    <x v="1"/>
    <x v="1"/>
    <x v="1"/>
  </r>
  <r>
    <n v="142"/>
    <s v="597767f6171974220c25560a"/>
    <n v="2"/>
    <x v="50"/>
    <n v="7500"/>
    <n v="4.03"/>
    <n v="16447"/>
    <n v="13.5"/>
    <n v="11.5"/>
    <n v="-17"/>
    <n v="-17"/>
    <n v="2312"/>
    <m/>
    <m/>
    <x v="1"/>
    <x v="0"/>
    <x v="1"/>
    <x v="1"/>
  </r>
  <r>
    <n v="143"/>
    <s v="5810bc6d61e38656e04e8ba2"/>
    <n v="2"/>
    <x v="50"/>
    <n v="7500"/>
    <n v="4.0549999999999997"/>
    <n v="7069"/>
    <n v="6.45"/>
    <n v="5.5"/>
    <n v="-17"/>
    <n v="-17"/>
    <n v="1255"/>
    <m/>
    <m/>
    <x v="1"/>
    <x v="0"/>
    <x v="1"/>
    <x v="1"/>
  </r>
  <r>
    <n v="144"/>
    <s v="583547f417dc6224cb464117"/>
    <n v="2"/>
    <x v="50"/>
    <n v="7500"/>
    <n v="4.0579999999999998"/>
    <n v="4213"/>
    <n v="7.5"/>
    <n v="7"/>
    <n v="-7"/>
    <n v="-7"/>
    <n v="765"/>
    <m/>
    <m/>
    <x v="1"/>
    <x v="0"/>
    <x v="1"/>
    <x v="1"/>
  </r>
  <r>
    <n v="145"/>
    <s v="569f632ed5f0840dda331a97"/>
    <n v="2"/>
    <x v="50"/>
    <n v="7500"/>
    <n v="4.2380000000000004"/>
    <n v="22765"/>
    <n v="10"/>
    <n v="14.5"/>
    <n v="25"/>
    <n v="24.5"/>
    <n v="1412"/>
    <n v="1"/>
    <n v="50"/>
    <x v="1"/>
    <x v="0"/>
    <x v="2"/>
    <x v="0"/>
  </r>
  <r>
    <n v="146"/>
    <s v="57baf75f63834218e305e4f4"/>
    <n v="5"/>
    <x v="51"/>
    <n v="2620"/>
    <n v="3.8860000000000001"/>
    <n v="32858"/>
    <n v="9.7799999999999994"/>
    <n v="8.6"/>
    <n v="-12"/>
    <n v="-11.6"/>
    <n v="804"/>
    <n v="2"/>
    <n v="40"/>
    <x v="1"/>
    <x v="1"/>
    <x v="1"/>
    <x v="0"/>
  </r>
  <r>
    <n v="147"/>
    <s v="59c86bce67e9be6f9da5cb03"/>
    <n v="4"/>
    <x v="52"/>
    <n v="3250"/>
    <n v="4.03"/>
    <n v="37956"/>
    <n v="6.1"/>
    <n v="43"/>
    <n v="65"/>
    <n v="64.5"/>
    <n v="717"/>
    <n v="2"/>
    <n v="50"/>
    <x v="1"/>
    <x v="0"/>
    <x v="0"/>
    <x v="0"/>
  </r>
  <r>
    <n v="148"/>
    <s v="556d0dc2c00cd721cce30dd1"/>
    <n v="3"/>
    <x v="53"/>
    <n v="4000"/>
    <n v="3.996"/>
    <n v="25260"/>
    <n v="6.33"/>
    <n v="6"/>
    <n v="-5"/>
    <n v="-5.33"/>
    <n v="1431"/>
    <n v="1"/>
    <n v="33"/>
    <x v="1"/>
    <x v="1"/>
    <x v="1"/>
    <x v="0"/>
  </r>
  <r>
    <n v="149"/>
    <s v="584bcf7bfef409603f39b619"/>
    <n v="3"/>
    <x v="53"/>
    <n v="4000"/>
    <n v="4.0179999999999998"/>
    <n v="35358"/>
    <n v="5.96"/>
    <n v="6.33"/>
    <n v="8"/>
    <n v="7.67"/>
    <n v="619"/>
    <n v="1"/>
    <n v="33"/>
    <x v="1"/>
    <x v="0"/>
    <x v="2"/>
    <x v="0"/>
  </r>
  <r>
    <n v="150"/>
    <s v="566eaa533a698c6442549a74"/>
    <n v="4"/>
    <x v="53"/>
    <n v="3000"/>
    <n v="3.9470000000000001"/>
    <n v="5083"/>
    <n v="7.4"/>
    <n v="25"/>
    <n v="38"/>
    <n v="37.5"/>
    <n v="489"/>
    <n v="2"/>
    <n v="50"/>
    <x v="1"/>
    <x v="1"/>
    <x v="3"/>
    <x v="0"/>
  </r>
  <r>
    <n v="151"/>
    <s v="565c13ad389b9b2df29caa32"/>
    <n v="4"/>
    <x v="53"/>
    <n v="3000"/>
    <n v="4.1369999999999996"/>
    <n v="11505"/>
    <n v="6.11"/>
    <n v="11.5"/>
    <n v="33"/>
    <n v="33"/>
    <n v="312"/>
    <n v="1"/>
    <n v="25"/>
    <x v="1"/>
    <x v="0"/>
    <x v="3"/>
    <x v="0"/>
  </r>
  <r>
    <n v="152"/>
    <s v="5667f9745eec70268023940b"/>
    <n v="5"/>
    <x v="54"/>
    <n v="2240"/>
    <n v="3.9470000000000001"/>
    <n v="130598"/>
    <n v="10.18"/>
    <n v="13"/>
    <n v="4"/>
    <n v="4.2"/>
    <n v="437"/>
    <n v="2"/>
    <n v="40"/>
    <x v="1"/>
    <x v="1"/>
    <x v="2"/>
    <x v="0"/>
  </r>
  <r>
    <n v="153"/>
    <s v="58cfdefdacb37b556efdff7c"/>
    <n v="4"/>
    <x v="55"/>
    <n v="2775"/>
    <n v="4.0199999999999996"/>
    <n v="23832"/>
    <n v="8.75"/>
    <n v="9.5"/>
    <n v="7"/>
    <n v="7"/>
    <n v="320"/>
    <n v="2"/>
    <n v="50"/>
    <x v="1"/>
    <x v="0"/>
    <x v="2"/>
    <x v="0"/>
  </r>
  <r>
    <n v="154"/>
    <s v="5832e5632f5e534c23488f06"/>
    <n v="4"/>
    <x v="55"/>
    <n v="2775"/>
    <n v="4.101"/>
    <n v="18029"/>
    <n v="11.5"/>
    <n v="17.75"/>
    <n v="20"/>
    <n v="19.5"/>
    <n v="521"/>
    <n v="1"/>
    <n v="25"/>
    <x v="1"/>
    <x v="0"/>
    <x v="2"/>
    <x v="0"/>
  </r>
  <r>
    <n v="155"/>
    <s v="55542b4b662da7114d591723"/>
    <n v="3"/>
    <x v="56"/>
    <n v="3667"/>
    <n v="4.1020000000000003"/>
    <n v="67171"/>
    <n v="8"/>
    <n v="8"/>
    <n v="1"/>
    <n v="1"/>
    <n v="989"/>
    <n v="3"/>
    <n v="100"/>
    <x v="1"/>
    <x v="0"/>
    <x v="2"/>
    <x v="0"/>
  </r>
  <r>
    <n v="156"/>
    <s v="5829d1ca96db262f04db2063"/>
    <n v="2"/>
    <x v="56"/>
    <n v="5500"/>
    <n v="3.85"/>
    <n v="5934"/>
    <n v="8"/>
    <n v="60.5"/>
    <n v="70"/>
    <n v="69.5"/>
    <n v="410"/>
    <n v="1"/>
    <n v="50"/>
    <x v="1"/>
    <x v="1"/>
    <x v="0"/>
    <x v="0"/>
  </r>
  <r>
    <n v="157"/>
    <s v="5831ae002f5e534c0a485f06"/>
    <n v="2"/>
    <x v="56"/>
    <n v="5500"/>
    <n v="3.8650000000000002"/>
    <n v="4524"/>
    <n v="9"/>
    <n v="18"/>
    <n v="31"/>
    <n v="31"/>
    <n v="398"/>
    <m/>
    <m/>
    <x v="1"/>
    <x v="1"/>
    <x v="3"/>
    <x v="1"/>
  </r>
  <r>
    <n v="158"/>
    <s v="53994751796f684b7f2193b5"/>
    <n v="2"/>
    <x v="56"/>
    <n v="5500"/>
    <n v="3.9729999999999999"/>
    <n v="45524"/>
    <n v="6.93"/>
    <n v="22.5"/>
    <n v="41"/>
    <n v="40.5"/>
    <n v="334"/>
    <n v="1"/>
    <n v="50"/>
    <x v="1"/>
    <x v="1"/>
    <x v="3"/>
    <x v="0"/>
  </r>
  <r>
    <n v="159"/>
    <s v="57086fd7fa6bee434d0e5852"/>
    <n v="2"/>
    <x v="56"/>
    <n v="5500"/>
    <n v="4.0289999999999999"/>
    <n v="10501"/>
    <n v="6"/>
    <n v="50"/>
    <n v="81"/>
    <n v="80.5"/>
    <n v="1294"/>
    <m/>
    <m/>
    <x v="1"/>
    <x v="0"/>
    <x v="0"/>
    <x v="1"/>
  </r>
  <r>
    <n v="160"/>
    <s v="5954b765abea9167c0495382"/>
    <n v="2"/>
    <x v="56"/>
    <n v="5500"/>
    <n v="4.1630000000000003"/>
    <n v="6329"/>
    <n v="10.5"/>
    <n v="9"/>
    <n v="-16"/>
    <n v="-16"/>
    <n v="1489"/>
    <m/>
    <m/>
    <x v="1"/>
    <x v="0"/>
    <x v="1"/>
    <x v="1"/>
  </r>
  <r>
    <n v="161"/>
    <s v="58481b8e728de666bd5b925f"/>
    <n v="2"/>
    <x v="56"/>
    <n v="5500"/>
    <n v="4.1929999999999996"/>
    <n v="20387"/>
    <n v="15"/>
    <n v="125"/>
    <n v="88"/>
    <n v="88"/>
    <n v="1344"/>
    <n v="1"/>
    <n v="50"/>
    <x v="1"/>
    <x v="0"/>
    <x v="0"/>
    <x v="0"/>
  </r>
  <r>
    <n v="162"/>
    <s v="57c306d73a698c06f98ed450"/>
    <n v="4"/>
    <x v="57"/>
    <n v="2550"/>
    <n v="4.1139999999999999"/>
    <n v="9827"/>
    <n v="7.5"/>
    <n v="21"/>
    <n v="65"/>
    <n v="65"/>
    <n v="310"/>
    <n v="2"/>
    <n v="50"/>
    <x v="1"/>
    <x v="0"/>
    <x v="0"/>
    <x v="0"/>
  </r>
  <r>
    <n v="163"/>
    <s v="57fde031235aaa1926afe803"/>
    <n v="3"/>
    <x v="58"/>
    <n v="3367"/>
    <n v="4.0140000000000002"/>
    <n v="15348"/>
    <n v="6.67"/>
    <n v="27.33"/>
    <n v="51"/>
    <n v="51.33"/>
    <n v="306"/>
    <n v="1"/>
    <n v="33"/>
    <x v="1"/>
    <x v="0"/>
    <x v="0"/>
    <x v="0"/>
  </r>
  <r>
    <n v="164"/>
    <s v="55cc46e9b4f3404582b70222"/>
    <n v="2"/>
    <x v="58"/>
    <n v="5050"/>
    <n v="3.9279999999999999"/>
    <n v="29615"/>
    <n v="10"/>
    <n v="27"/>
    <n v="47"/>
    <n v="47"/>
    <n v="206"/>
    <m/>
    <m/>
    <x v="1"/>
    <x v="1"/>
    <x v="3"/>
    <x v="1"/>
  </r>
  <r>
    <n v="165"/>
    <s v="5667c747eb4b140fe963ba77"/>
    <n v="2"/>
    <x v="58"/>
    <n v="5050"/>
    <n v="3.9870000000000001"/>
    <n v="59234"/>
    <n v="7.5"/>
    <n v="46"/>
    <n v="46"/>
    <n v="45.5"/>
    <n v="398"/>
    <m/>
    <m/>
    <x v="1"/>
    <x v="1"/>
    <x v="3"/>
    <x v="1"/>
  </r>
  <r>
    <n v="166"/>
    <s v="5b24b6bdd1c3601ba899f0c0"/>
    <n v="1"/>
    <x v="59"/>
    <n v="10000"/>
    <n v="3.7949999999999999"/>
    <n v="6158"/>
    <n v="12"/>
    <n v="11"/>
    <n v="-9"/>
    <n v="-9"/>
    <n v="1276"/>
    <n v="1"/>
    <n v="100"/>
    <x v="1"/>
    <x v="1"/>
    <x v="1"/>
    <x v="0"/>
  </r>
  <r>
    <n v="167"/>
    <s v="5d4b891183889735374d3c88"/>
    <n v="1"/>
    <x v="59"/>
    <n v="10000"/>
    <n v="3.7949999999999999"/>
    <n v="1260"/>
    <n v="8"/>
    <n v="56"/>
    <n v="86"/>
    <n v="86"/>
    <n v="1285"/>
    <m/>
    <m/>
    <x v="1"/>
    <x v="1"/>
    <x v="0"/>
    <x v="1"/>
  </r>
  <r>
    <n v="168"/>
    <s v="582872761004352e57ee38a1"/>
    <n v="1"/>
    <x v="59"/>
    <n v="10000"/>
    <n v="3.8490000000000002"/>
    <n v="3972"/>
    <n v="9"/>
    <n v="14"/>
    <n v="36"/>
    <n v="36"/>
    <n v="644"/>
    <m/>
    <m/>
    <x v="1"/>
    <x v="1"/>
    <x v="3"/>
    <x v="1"/>
  </r>
  <r>
    <n v="169"/>
    <s v="5b14bc7ddaac4575492a01c5"/>
    <n v="1"/>
    <x v="59"/>
    <n v="10000"/>
    <n v="3.8719999999999999"/>
    <n v="12371"/>
    <n v="11"/>
    <n v="20"/>
    <n v="45"/>
    <n v="45"/>
    <n v="2841"/>
    <n v="1"/>
    <n v="100"/>
    <x v="1"/>
    <x v="1"/>
    <x v="3"/>
    <x v="0"/>
  </r>
  <r>
    <n v="170"/>
    <s v="59a2e74a8696be0eeb7a7ba9"/>
    <n v="1"/>
    <x v="59"/>
    <n v="10000"/>
    <n v="3.8969999999999998"/>
    <n v="8563"/>
    <n v="8"/>
    <n v="7"/>
    <n v="-14"/>
    <n v="-14"/>
    <n v="1467"/>
    <n v="1"/>
    <n v="100"/>
    <x v="1"/>
    <x v="1"/>
    <x v="1"/>
    <x v="0"/>
  </r>
  <r>
    <n v="171"/>
    <s v="5d3d59c772b0c92f4d1ea32d"/>
    <n v="1"/>
    <x v="59"/>
    <n v="10000"/>
    <n v="3.907"/>
    <n v="1702"/>
    <n v="7"/>
    <n v="16"/>
    <n v="57"/>
    <n v="57"/>
    <n v="1792"/>
    <m/>
    <m/>
    <x v="1"/>
    <x v="1"/>
    <x v="0"/>
    <x v="1"/>
  </r>
  <r>
    <n v="172"/>
    <s v="582d5286168b54404ec5ecf2"/>
    <n v="1"/>
    <x v="59"/>
    <n v="10000"/>
    <n v="3.9409999999999998"/>
    <n v="5466"/>
    <n v="13"/>
    <n v="14"/>
    <n v="8"/>
    <n v="8"/>
    <n v="1938"/>
    <m/>
    <m/>
    <x v="1"/>
    <x v="1"/>
    <x v="2"/>
    <x v="1"/>
  </r>
  <r>
    <n v="173"/>
    <s v="591ed674fc9cce0fcd7ff354"/>
    <n v="1"/>
    <x v="59"/>
    <n v="10000"/>
    <n v="3.952"/>
    <n v="2366"/>
    <n v="5.9"/>
    <n v="5"/>
    <n v="-18"/>
    <n v="-18"/>
    <n v="1933"/>
    <m/>
    <m/>
    <x v="1"/>
    <x v="1"/>
    <x v="1"/>
    <x v="1"/>
  </r>
  <r>
    <n v="174"/>
    <s v="5b8beef49996c87b299cdbec"/>
    <n v="1"/>
    <x v="59"/>
    <n v="10000"/>
    <n v="3.9580000000000002"/>
    <n v="6302"/>
    <n v="11"/>
    <n v="10"/>
    <n v="-10"/>
    <n v="-10"/>
    <n v="2058"/>
    <m/>
    <m/>
    <x v="1"/>
    <x v="1"/>
    <x v="1"/>
    <x v="1"/>
  </r>
  <r>
    <n v="175"/>
    <s v="5833f721e18c0f15d659a8ed"/>
    <n v="1"/>
    <x v="59"/>
    <n v="10000"/>
    <n v="3.9609999999999999"/>
    <n v="4019"/>
    <n v="8"/>
    <n v="7"/>
    <n v="-14"/>
    <n v="-14"/>
    <n v="1087"/>
    <n v="1"/>
    <n v="100"/>
    <x v="1"/>
    <x v="1"/>
    <x v="1"/>
    <x v="0"/>
  </r>
  <r>
    <n v="176"/>
    <s v="5b629265299c7e3db17cf86d"/>
    <n v="1"/>
    <x v="59"/>
    <n v="10000"/>
    <n v="3.9750000000000001"/>
    <n v="19735"/>
    <n v="5.77"/>
    <n v="5"/>
    <n v="-15"/>
    <n v="-15"/>
    <n v="2892"/>
    <m/>
    <m/>
    <x v="1"/>
    <x v="1"/>
    <x v="1"/>
    <x v="1"/>
  </r>
  <r>
    <n v="177"/>
    <s v="58579043e950f24d94f612dc"/>
    <n v="1"/>
    <x v="59"/>
    <n v="10000"/>
    <n v="3.976"/>
    <n v="33148"/>
    <n v="8"/>
    <n v="13"/>
    <n v="39"/>
    <n v="39"/>
    <n v="2753"/>
    <m/>
    <m/>
    <x v="1"/>
    <x v="1"/>
    <x v="3"/>
    <x v="1"/>
  </r>
  <r>
    <n v="178"/>
    <s v="57e90050b97437131f78c7d7"/>
    <n v="1"/>
    <x v="59"/>
    <n v="10000"/>
    <n v="3.9820000000000002"/>
    <n v="3549"/>
    <n v="5.78"/>
    <n v="26"/>
    <n v="78"/>
    <n v="78"/>
    <n v="1426"/>
    <m/>
    <m/>
    <x v="1"/>
    <x v="1"/>
    <x v="0"/>
    <x v="1"/>
  </r>
  <r>
    <n v="179"/>
    <s v="584a9e7421390e4cb68dec18"/>
    <n v="1"/>
    <x v="59"/>
    <n v="10000"/>
    <n v="3.9820000000000002"/>
    <n v="6818"/>
    <n v="8"/>
    <n v="7"/>
    <n v="-14"/>
    <n v="-14"/>
    <n v="1649"/>
    <m/>
    <m/>
    <x v="1"/>
    <x v="1"/>
    <x v="1"/>
    <x v="1"/>
  </r>
  <r>
    <n v="180"/>
    <s v="5620c3b23a698c4bc7d17e8c"/>
    <n v="1"/>
    <x v="59"/>
    <n v="10000"/>
    <n v="3.9849999999999999"/>
    <n v="19521"/>
    <n v="12"/>
    <n v="11"/>
    <n v="-9"/>
    <n v="-9"/>
    <n v="3560"/>
    <n v="1"/>
    <n v="100"/>
    <x v="1"/>
    <x v="1"/>
    <x v="1"/>
    <x v="0"/>
  </r>
  <r>
    <n v="181"/>
    <s v="58061170aa46c6195c12950b"/>
    <n v="1"/>
    <x v="59"/>
    <n v="10000"/>
    <n v="3.988"/>
    <n v="1987"/>
    <n v="8"/>
    <n v="9"/>
    <n v="12"/>
    <n v="12"/>
    <n v="1316"/>
    <m/>
    <m/>
    <x v="1"/>
    <x v="1"/>
    <x v="2"/>
    <x v="1"/>
  </r>
  <r>
    <n v="182"/>
    <s v="5847df29728de666ef5b853b"/>
    <n v="1"/>
    <x v="59"/>
    <n v="10000"/>
    <n v="3.9950000000000001"/>
    <n v="19879"/>
    <n v="8"/>
    <n v="8"/>
    <n v="0"/>
    <n v="0"/>
    <n v="1858"/>
    <m/>
    <m/>
    <x v="1"/>
    <x v="1"/>
    <x v="1"/>
    <x v="1"/>
  </r>
  <r>
    <n v="183"/>
    <s v="56669d89eb4b14361d45090f"/>
    <n v="1"/>
    <x v="59"/>
    <n v="10000"/>
    <n v="4.0179999999999998"/>
    <n v="23465"/>
    <n v="5.65"/>
    <n v="25"/>
    <n v="78"/>
    <n v="78"/>
    <n v="418"/>
    <m/>
    <m/>
    <x v="1"/>
    <x v="0"/>
    <x v="0"/>
    <x v="1"/>
  </r>
  <r>
    <n v="184"/>
    <s v="58da4490933abf52ad547200"/>
    <n v="1"/>
    <x v="59"/>
    <n v="10000"/>
    <n v="4.0250000000000004"/>
    <n v="23485"/>
    <n v="8"/>
    <n v="118"/>
    <n v="94"/>
    <n v="94"/>
    <n v="2519"/>
    <m/>
    <m/>
    <x v="1"/>
    <x v="0"/>
    <x v="0"/>
    <x v="1"/>
  </r>
  <r>
    <n v="185"/>
    <s v="578ed3e53a698c2b54ac93f4"/>
    <n v="1"/>
    <x v="59"/>
    <n v="10000"/>
    <n v="4.0259999999999998"/>
    <n v="14284"/>
    <n v="11"/>
    <n v="10"/>
    <n v="-10"/>
    <n v="-10"/>
    <n v="2102"/>
    <m/>
    <m/>
    <x v="1"/>
    <x v="0"/>
    <x v="1"/>
    <x v="1"/>
  </r>
  <r>
    <n v="186"/>
    <s v="55cc3e5f845591103477a2f8"/>
    <n v="1"/>
    <x v="59"/>
    <n v="10000"/>
    <n v="4.0330000000000004"/>
    <n v="55089"/>
    <n v="6"/>
    <n v="9"/>
    <n v="34"/>
    <n v="34"/>
    <n v="2211"/>
    <m/>
    <m/>
    <x v="1"/>
    <x v="0"/>
    <x v="3"/>
    <x v="1"/>
  </r>
  <r>
    <n v="187"/>
    <s v="570ceafac277d445e3cbebe5"/>
    <n v="1"/>
    <x v="59"/>
    <n v="10000"/>
    <n v="4.0529999999999999"/>
    <n v="7356"/>
    <n v="8"/>
    <n v="7"/>
    <n v="-14"/>
    <n v="-14"/>
    <n v="1312"/>
    <n v="1"/>
    <n v="100"/>
    <x v="1"/>
    <x v="0"/>
    <x v="1"/>
    <x v="0"/>
  </r>
  <r>
    <n v="188"/>
    <s v="5b6bb9c8dd0d902d18928318"/>
    <n v="1"/>
    <x v="59"/>
    <n v="10000"/>
    <n v="4.0540000000000003"/>
    <n v="7544"/>
    <n v="5.68"/>
    <n v="7"/>
    <n v="19"/>
    <n v="19"/>
    <n v="1232"/>
    <m/>
    <m/>
    <x v="1"/>
    <x v="0"/>
    <x v="2"/>
    <x v="1"/>
  </r>
  <r>
    <n v="189"/>
    <s v="5556c60071e86d19fe7590d4"/>
    <n v="1"/>
    <x v="59"/>
    <n v="10000"/>
    <n v="4.0549999999999997"/>
    <n v="5993"/>
    <n v="6"/>
    <n v="7"/>
    <n v="15"/>
    <n v="15"/>
    <n v="1238"/>
    <n v="1"/>
    <n v="100"/>
    <x v="1"/>
    <x v="0"/>
    <x v="2"/>
    <x v="0"/>
  </r>
  <r>
    <n v="190"/>
    <s v="5a9cfdb4ccf0c85918542fdd"/>
    <n v="1"/>
    <x v="59"/>
    <n v="10000"/>
    <n v="4.0659999999999998"/>
    <n v="34311"/>
    <n v="7"/>
    <n v="6"/>
    <n v="-16"/>
    <n v="-16"/>
    <n v="2483"/>
    <m/>
    <m/>
    <x v="1"/>
    <x v="0"/>
    <x v="1"/>
    <x v="1"/>
  </r>
  <r>
    <n v="191"/>
    <s v="565973368f5f027e14060846"/>
    <n v="1"/>
    <x v="59"/>
    <n v="10000"/>
    <n v="4.0709999999999997"/>
    <n v="27719"/>
    <n v="14"/>
    <n v="75"/>
    <n v="82"/>
    <n v="82"/>
    <n v="2514"/>
    <m/>
    <m/>
    <x v="1"/>
    <x v="0"/>
    <x v="0"/>
    <x v="1"/>
  </r>
  <r>
    <n v="192"/>
    <s v="5730557ae3daeb5b35ee1f0b"/>
    <n v="1"/>
    <x v="59"/>
    <n v="10000"/>
    <n v="4.0739999999999998"/>
    <n v="10665"/>
    <n v="6"/>
    <n v="8"/>
    <n v="25"/>
    <n v="25"/>
    <n v="1010"/>
    <n v="1"/>
    <n v="100"/>
    <x v="1"/>
    <x v="0"/>
    <x v="2"/>
    <x v="0"/>
  </r>
  <r>
    <n v="193"/>
    <s v="573d951ad57895595f6d5854"/>
    <n v="1"/>
    <x v="59"/>
    <n v="10000"/>
    <n v="4.077"/>
    <n v="13399"/>
    <n v="8"/>
    <n v="7"/>
    <n v="-14"/>
    <n v="-14"/>
    <n v="2604"/>
    <n v="1"/>
    <n v="100"/>
    <x v="1"/>
    <x v="0"/>
    <x v="1"/>
    <x v="0"/>
  </r>
  <r>
    <n v="194"/>
    <s v="567a54fe7071ec7e12a1494e"/>
    <n v="1"/>
    <x v="59"/>
    <n v="10000"/>
    <n v="4.0789999999999997"/>
    <n v="12004"/>
    <n v="9"/>
    <n v="8"/>
    <n v="-12"/>
    <n v="-12"/>
    <n v="3101"/>
    <m/>
    <m/>
    <x v="1"/>
    <x v="0"/>
    <x v="1"/>
    <x v="1"/>
  </r>
  <r>
    <n v="195"/>
    <s v="5b52ea49b56d05463d973207"/>
    <n v="1"/>
    <x v="59"/>
    <n v="10000"/>
    <n v="4.085"/>
    <n v="6651"/>
    <n v="8"/>
    <n v="22"/>
    <n v="64"/>
    <n v="64"/>
    <n v="904"/>
    <n v="1"/>
    <n v="100"/>
    <x v="1"/>
    <x v="0"/>
    <x v="0"/>
    <x v="0"/>
  </r>
  <r>
    <n v="196"/>
    <s v="5448701f90c77609a237f99f"/>
    <n v="1"/>
    <x v="59"/>
    <n v="10000"/>
    <n v="4.0880000000000001"/>
    <n v="117487"/>
    <n v="12"/>
    <n v="13"/>
    <n v="8"/>
    <n v="8"/>
    <n v="893"/>
    <m/>
    <m/>
    <x v="1"/>
    <x v="0"/>
    <x v="2"/>
    <x v="1"/>
  </r>
  <r>
    <n v="197"/>
    <s v="5780c6b2e8aa893157a3286f"/>
    <n v="1"/>
    <x v="59"/>
    <n v="10000"/>
    <n v="4.101"/>
    <n v="11264"/>
    <n v="7"/>
    <n v="6"/>
    <n v="-16"/>
    <n v="-16"/>
    <n v="3078"/>
    <m/>
    <m/>
    <x v="1"/>
    <x v="0"/>
    <x v="1"/>
    <x v="1"/>
  </r>
  <r>
    <n v="198"/>
    <s v="5939085087117919c6f12a77"/>
    <n v="1"/>
    <x v="59"/>
    <n v="10000"/>
    <n v="4.1050000000000004"/>
    <n v="2399"/>
    <n v="1.91"/>
    <n v="2"/>
    <n v="5"/>
    <n v="5"/>
    <n v="697"/>
    <m/>
    <m/>
    <x v="1"/>
    <x v="0"/>
    <x v="2"/>
    <x v="1"/>
  </r>
  <r>
    <n v="199"/>
    <s v="58c28c4cae99c651278d7e6e"/>
    <n v="1"/>
    <x v="59"/>
    <n v="10000"/>
    <n v="4.109"/>
    <n v="19436"/>
    <n v="11"/>
    <n v="10"/>
    <n v="-10"/>
    <n v="-10"/>
    <n v="1780"/>
    <m/>
    <m/>
    <x v="1"/>
    <x v="0"/>
    <x v="1"/>
    <x v="1"/>
  </r>
  <r>
    <n v="200"/>
    <s v="591c47e34d43573c91966c72"/>
    <n v="1"/>
    <x v="59"/>
    <n v="10000"/>
    <n v="4.1150000000000002"/>
    <n v="15502"/>
    <n v="11"/>
    <n v="43"/>
    <n v="75"/>
    <n v="75"/>
    <n v="2521"/>
    <m/>
    <m/>
    <x v="1"/>
    <x v="0"/>
    <x v="0"/>
    <x v="1"/>
  </r>
  <r>
    <n v="201"/>
    <s v="5937930e188f3d1bd209896d"/>
    <n v="1"/>
    <x v="59"/>
    <n v="10000"/>
    <n v="4.1219999999999999"/>
    <n v="9325"/>
    <n v="11"/>
    <n v="12"/>
    <n v="9"/>
    <n v="9"/>
    <n v="666"/>
    <m/>
    <m/>
    <x v="1"/>
    <x v="0"/>
    <x v="2"/>
    <x v="1"/>
  </r>
  <r>
    <n v="202"/>
    <s v="57fcc26f1c813a50b2a86956"/>
    <n v="1"/>
    <x v="59"/>
    <n v="10000"/>
    <n v="4.1230000000000002"/>
    <n v="31559"/>
    <n v="6"/>
    <n v="142"/>
    <n v="96"/>
    <n v="96"/>
    <n v="1941"/>
    <m/>
    <m/>
    <x v="1"/>
    <x v="0"/>
    <x v="0"/>
    <x v="1"/>
  </r>
  <r>
    <n v="203"/>
    <s v="5acdb384ccf0c86f34c5d539"/>
    <n v="1"/>
    <x v="59"/>
    <n v="10000"/>
    <n v="4.125"/>
    <n v="9938"/>
    <n v="7"/>
    <n v="6"/>
    <n v="-16"/>
    <n v="-16"/>
    <n v="1797"/>
    <m/>
    <m/>
    <x v="1"/>
    <x v="0"/>
    <x v="1"/>
    <x v="1"/>
  </r>
  <r>
    <n v="204"/>
    <s v="5addba5481260b1ddfffe5a3"/>
    <n v="1"/>
    <x v="59"/>
    <n v="10000"/>
    <n v="4.1449999999999996"/>
    <n v="3977"/>
    <n v="7"/>
    <n v="16"/>
    <n v="57"/>
    <n v="57"/>
    <n v="1116"/>
    <m/>
    <m/>
    <x v="1"/>
    <x v="0"/>
    <x v="0"/>
    <x v="1"/>
  </r>
  <r>
    <n v="205"/>
    <s v="56c3c5d830d9795c3bad3124"/>
    <n v="1"/>
    <x v="59"/>
    <n v="10000"/>
    <n v="4.1479999999999997"/>
    <n v="14502"/>
    <n v="13"/>
    <n v="11"/>
    <n v="-18"/>
    <n v="-18"/>
    <n v="2901"/>
    <n v="1"/>
    <n v="100"/>
    <x v="1"/>
    <x v="0"/>
    <x v="1"/>
    <x v="0"/>
  </r>
  <r>
    <n v="206"/>
    <s v="59b88527b77173631729908e"/>
    <n v="1"/>
    <x v="59"/>
    <n v="10000"/>
    <n v="4.149"/>
    <n v="21412"/>
    <n v="4"/>
    <n v="4"/>
    <n v="0"/>
    <n v="0"/>
    <n v="1412"/>
    <n v="1"/>
    <n v="100"/>
    <x v="1"/>
    <x v="0"/>
    <x v="1"/>
    <x v="0"/>
  </r>
  <r>
    <n v="207"/>
    <s v="56e6928521790d587623b3b4"/>
    <n v="1"/>
    <x v="59"/>
    <n v="10000"/>
    <n v="4.1509999999999998"/>
    <n v="27055"/>
    <n v="5"/>
    <n v="5"/>
    <n v="0"/>
    <n v="0"/>
    <n v="3208"/>
    <n v="1"/>
    <n v="100"/>
    <x v="1"/>
    <x v="0"/>
    <x v="1"/>
    <x v="0"/>
  </r>
  <r>
    <n v="208"/>
    <s v="57973560cb38dd77d126e9f1"/>
    <n v="1"/>
    <x v="59"/>
    <n v="10000"/>
    <n v="4.1520000000000001"/>
    <n v="120781"/>
    <n v="11"/>
    <n v="16"/>
    <n v="32"/>
    <n v="32"/>
    <n v="1586"/>
    <m/>
    <m/>
    <x v="1"/>
    <x v="0"/>
    <x v="3"/>
    <x v="1"/>
  </r>
  <r>
    <n v="209"/>
    <s v="5acc6cc0c3911a32ad141f60"/>
    <n v="1"/>
    <x v="59"/>
    <n v="10000"/>
    <n v="4.1619999999999999"/>
    <n v="8727"/>
    <n v="7"/>
    <n v="9"/>
    <n v="23"/>
    <n v="23"/>
    <n v="1838"/>
    <n v="1"/>
    <n v="100"/>
    <x v="1"/>
    <x v="0"/>
    <x v="2"/>
    <x v="0"/>
  </r>
  <r>
    <n v="210"/>
    <s v="5961d4e6905fdb5a6f505cd3"/>
    <n v="1"/>
    <x v="59"/>
    <n v="10000"/>
    <n v="4.181"/>
    <n v="11148"/>
    <n v="8"/>
    <n v="7"/>
    <n v="-14"/>
    <n v="-14"/>
    <n v="1473"/>
    <m/>
    <m/>
    <x v="1"/>
    <x v="0"/>
    <x v="1"/>
    <x v="1"/>
  </r>
  <r>
    <n v="211"/>
    <s v="59dc769133a48743534ac5c7"/>
    <n v="1"/>
    <x v="59"/>
    <n v="10000"/>
    <n v="4.181"/>
    <n v="2975"/>
    <n v="11"/>
    <n v="11"/>
    <n v="0"/>
    <n v="0"/>
    <n v="1520"/>
    <m/>
    <m/>
    <x v="1"/>
    <x v="0"/>
    <x v="1"/>
    <x v="1"/>
  </r>
  <r>
    <n v="212"/>
    <s v="586dff6c16e4106b5e5feb58"/>
    <n v="1"/>
    <x v="59"/>
    <n v="10000"/>
    <n v="4.1829999999999998"/>
    <n v="28159"/>
    <n v="6"/>
    <n v="76"/>
    <n v="93"/>
    <n v="93"/>
    <n v="1741"/>
    <m/>
    <m/>
    <x v="1"/>
    <x v="0"/>
    <x v="0"/>
    <x v="1"/>
  </r>
  <r>
    <n v="213"/>
    <s v="5ae5c3cb4215954239aff8b9"/>
    <n v="1"/>
    <x v="59"/>
    <n v="10000"/>
    <n v="4.1879999999999997"/>
    <n v="2359"/>
    <n v="6"/>
    <n v="10"/>
    <n v="40"/>
    <n v="40"/>
    <n v="1496"/>
    <n v="1"/>
    <n v="100"/>
    <x v="1"/>
    <x v="0"/>
    <x v="3"/>
    <x v="0"/>
  </r>
  <r>
    <n v="214"/>
    <s v="57d904168172661fe3b3256a"/>
    <n v="1"/>
    <x v="59"/>
    <n v="10000"/>
    <n v="4.1920000000000002"/>
    <n v="2888"/>
    <n v="9"/>
    <n v="59"/>
    <n v="85"/>
    <n v="85"/>
    <n v="1721"/>
    <m/>
    <m/>
    <x v="1"/>
    <x v="0"/>
    <x v="0"/>
    <x v="1"/>
  </r>
  <r>
    <n v="215"/>
    <s v="58ffff331a1cef16a78c78f4"/>
    <n v="1"/>
    <x v="59"/>
    <n v="10000"/>
    <n v="4.2030000000000003"/>
    <n v="22173"/>
    <n v="13"/>
    <n v="84"/>
    <n v="85"/>
    <n v="85"/>
    <n v="2328"/>
    <n v="1"/>
    <n v="100"/>
    <x v="1"/>
    <x v="0"/>
    <x v="0"/>
    <x v="0"/>
  </r>
  <r>
    <n v="216"/>
    <s v="598040ea0ec30f7f43a3cc35"/>
    <n v="1"/>
    <x v="59"/>
    <n v="10000"/>
    <n v="4.2089999999999996"/>
    <n v="4295"/>
    <n v="9"/>
    <n v="8"/>
    <n v="-12"/>
    <n v="-12"/>
    <n v="3024"/>
    <n v="1"/>
    <n v="100"/>
    <x v="1"/>
    <x v="0"/>
    <x v="1"/>
    <x v="0"/>
  </r>
  <r>
    <n v="217"/>
    <s v="56e628924bd2915857b4ffdf"/>
    <n v="1"/>
    <x v="59"/>
    <n v="10000"/>
    <n v="4.2240000000000002"/>
    <n v="16064"/>
    <n v="14"/>
    <n v="12"/>
    <n v="-16"/>
    <n v="-16"/>
    <n v="3574"/>
    <m/>
    <m/>
    <x v="1"/>
    <x v="0"/>
    <x v="1"/>
    <x v="1"/>
  </r>
  <r>
    <n v="218"/>
    <s v="56f0f2bdc3c3715871ade946"/>
    <n v="1"/>
    <x v="59"/>
    <n v="10000"/>
    <n v="4.2279999999999998"/>
    <n v="30292"/>
    <n v="8"/>
    <n v="25"/>
    <n v="68"/>
    <n v="68"/>
    <n v="2324"/>
    <m/>
    <m/>
    <x v="1"/>
    <x v="0"/>
    <x v="0"/>
    <x v="1"/>
  </r>
  <r>
    <n v="219"/>
    <s v="5d52278327752b029793c927"/>
    <n v="1"/>
    <x v="59"/>
    <n v="10000"/>
    <n v="4.2380000000000004"/>
    <n v="783"/>
    <n v="1.77"/>
    <n v="2"/>
    <n v="12"/>
    <n v="12"/>
    <n v="510"/>
    <m/>
    <m/>
    <x v="1"/>
    <x v="0"/>
    <x v="2"/>
    <x v="1"/>
  </r>
  <r>
    <n v="220"/>
    <s v="5b43232f86152a07d4ffc58c"/>
    <n v="1"/>
    <x v="59"/>
    <n v="10000"/>
    <n v="4.2409999999999997"/>
    <n v="4907"/>
    <n v="8"/>
    <n v="11"/>
    <n v="28"/>
    <n v="28"/>
    <n v="1715"/>
    <m/>
    <m/>
    <x v="1"/>
    <x v="0"/>
    <x v="3"/>
    <x v="1"/>
  </r>
  <r>
    <n v="221"/>
    <s v="5b8a5636af279f1699366496"/>
    <n v="1"/>
    <x v="59"/>
    <n v="10000"/>
    <n v="4.2510000000000003"/>
    <n v="3309"/>
    <n v="18"/>
    <n v="17"/>
    <n v="-5"/>
    <n v="-5"/>
    <n v="3229"/>
    <m/>
    <m/>
    <x v="1"/>
    <x v="0"/>
    <x v="1"/>
    <x v="1"/>
  </r>
  <r>
    <n v="222"/>
    <s v="551c02310570552bbd036dbb"/>
    <n v="1"/>
    <x v="59"/>
    <n v="10000"/>
    <n v="4.2590000000000003"/>
    <n v="20169"/>
    <n v="8"/>
    <n v="11"/>
    <n v="28"/>
    <n v="28"/>
    <n v="3345"/>
    <n v="1"/>
    <n v="100"/>
    <x v="1"/>
    <x v="0"/>
    <x v="3"/>
    <x v="0"/>
  </r>
  <r>
    <n v="223"/>
    <s v="5ad31267ea8764621df718c0"/>
    <n v="1"/>
    <x v="59"/>
    <n v="10000"/>
    <n v="4.28"/>
    <n v="11596"/>
    <n v="6"/>
    <n v="31"/>
    <n v="81"/>
    <n v="81"/>
    <n v="2789"/>
    <m/>
    <m/>
    <x v="1"/>
    <x v="0"/>
    <x v="0"/>
    <x v="1"/>
  </r>
  <r>
    <n v="224"/>
    <s v="58b81d56e3f66d59b36812ac"/>
    <n v="1"/>
    <x v="59"/>
    <n v="10000"/>
    <n v="4.2930000000000001"/>
    <n v="9661"/>
    <n v="7"/>
    <n v="6"/>
    <n v="-16"/>
    <n v="-16"/>
    <n v="3079"/>
    <m/>
    <m/>
    <x v="1"/>
    <x v="0"/>
    <x v="1"/>
    <x v="1"/>
  </r>
  <r>
    <n v="225"/>
    <s v="53ad2f5a46188e43c8b6bef6"/>
    <n v="1"/>
    <x v="59"/>
    <n v="10000"/>
    <n v="4.3010000000000002"/>
    <n v="23719"/>
    <n v="13"/>
    <n v="84"/>
    <n v="85"/>
    <n v="85"/>
    <n v="2592"/>
    <m/>
    <m/>
    <x v="1"/>
    <x v="0"/>
    <x v="0"/>
    <x v="1"/>
  </r>
  <r>
    <n v="226"/>
    <s v="591a999d1a071f7e40e984a4"/>
    <n v="1"/>
    <x v="59"/>
    <n v="10000"/>
    <n v="4.3010000000000002"/>
    <n v="17621"/>
    <n v="16"/>
    <n v="14"/>
    <n v="-14"/>
    <n v="-14"/>
    <n v="3075"/>
    <n v="1"/>
    <n v="100"/>
    <x v="1"/>
    <x v="0"/>
    <x v="1"/>
    <x v="0"/>
  </r>
  <r>
    <n v="227"/>
    <s v="56e7bdeefdc43f585fce9122"/>
    <n v="1"/>
    <x v="59"/>
    <n v="10000"/>
    <n v="4.3079999999999998"/>
    <n v="9981"/>
    <n v="13"/>
    <n v="11"/>
    <n v="-18"/>
    <n v="-18"/>
    <n v="1184"/>
    <m/>
    <m/>
    <x v="1"/>
    <x v="0"/>
    <x v="1"/>
    <x v="1"/>
  </r>
  <r>
    <n v="228"/>
    <s v="53f2db3c104dae6bcae0c271"/>
    <n v="1"/>
    <x v="59"/>
    <n v="10000"/>
    <n v="4.3109999999999999"/>
    <n v="230951"/>
    <n v="4"/>
    <n v="4"/>
    <n v="0"/>
    <n v="0"/>
    <n v="2150"/>
    <m/>
    <m/>
    <x v="1"/>
    <x v="0"/>
    <x v="1"/>
    <x v="1"/>
  </r>
  <r>
    <n v="229"/>
    <s v="5577b101429aa92940bc33e7"/>
    <n v="1"/>
    <x v="59"/>
    <n v="10000"/>
    <n v="4.3140000000000001"/>
    <n v="33675"/>
    <n v="6"/>
    <n v="6"/>
    <n v="0"/>
    <n v="0"/>
    <n v="2808"/>
    <n v="1"/>
    <n v="100"/>
    <x v="1"/>
    <x v="0"/>
    <x v="1"/>
    <x v="0"/>
  </r>
  <r>
    <n v="230"/>
    <s v="596c927e94158579f28517e3"/>
    <n v="1"/>
    <x v="59"/>
    <n v="10000"/>
    <n v="4.3220000000000001"/>
    <n v="1659"/>
    <n v="8"/>
    <n v="47"/>
    <n v="83"/>
    <n v="83"/>
    <n v="1631"/>
    <m/>
    <m/>
    <x v="1"/>
    <x v="0"/>
    <x v="0"/>
    <x v="1"/>
  </r>
  <r>
    <n v="231"/>
    <s v="5b2604207b94e16c00375350"/>
    <n v="1"/>
    <x v="59"/>
    <n v="10000"/>
    <n v="4.3239999999999998"/>
    <n v="2736"/>
    <n v="6"/>
    <n v="6"/>
    <n v="0"/>
    <n v="0"/>
    <n v="1669"/>
    <m/>
    <m/>
    <x v="1"/>
    <x v="0"/>
    <x v="1"/>
    <x v="1"/>
  </r>
  <r>
    <n v="232"/>
    <s v="59797d8e439a9870104928a1"/>
    <n v="1"/>
    <x v="59"/>
    <n v="10000"/>
    <n v="4.343"/>
    <n v="16091"/>
    <n v="9"/>
    <n v="17"/>
    <n v="48"/>
    <n v="48"/>
    <n v="2253"/>
    <m/>
    <m/>
    <x v="1"/>
    <x v="0"/>
    <x v="3"/>
    <x v="1"/>
  </r>
  <r>
    <n v="233"/>
    <s v="565537c7a9a8a4572be0bef5"/>
    <n v="1"/>
    <x v="59"/>
    <n v="10000"/>
    <n v="4.3529999999999998"/>
    <n v="12881"/>
    <n v="17"/>
    <n v="15"/>
    <n v="-13"/>
    <n v="-13"/>
    <n v="3040"/>
    <m/>
    <m/>
    <x v="1"/>
    <x v="0"/>
    <x v="1"/>
    <x v="1"/>
  </r>
  <r>
    <n v="234"/>
    <s v="5bd0a13aa8f4bb2739445be4"/>
    <n v="1"/>
    <x v="59"/>
    <n v="10000"/>
    <n v="4.3559999999999999"/>
    <n v="2174765"/>
    <n v="5.66"/>
    <n v="5"/>
    <n v="-13"/>
    <n v="-13"/>
    <n v="2068"/>
    <m/>
    <m/>
    <x v="1"/>
    <x v="0"/>
    <x v="1"/>
    <x v="1"/>
  </r>
  <r>
    <n v="235"/>
    <s v="58a6971e0e16e97a6636a1b8"/>
    <n v="1"/>
    <x v="59"/>
    <n v="10000"/>
    <n v="4.3949999999999996"/>
    <n v="85562"/>
    <n v="4.66"/>
    <n v="5"/>
    <n v="7"/>
    <n v="7"/>
    <n v="1594"/>
    <m/>
    <m/>
    <x v="1"/>
    <x v="0"/>
    <x v="2"/>
    <x v="1"/>
  </r>
  <r>
    <n v="236"/>
    <s v="57713183bd6b18740117229d"/>
    <n v="1"/>
    <x v="59"/>
    <n v="10000"/>
    <n v="4.3959999999999999"/>
    <n v="11333"/>
    <n v="3.67"/>
    <n v="4"/>
    <n v="9"/>
    <n v="9"/>
    <n v="2072"/>
    <m/>
    <m/>
    <x v="1"/>
    <x v="0"/>
    <x v="2"/>
    <x v="1"/>
  </r>
  <r>
    <n v="237"/>
    <s v="585037af728de662411bd39a"/>
    <n v="2"/>
    <x v="59"/>
    <n v="5000"/>
    <n v="3.7749999999999999"/>
    <n v="6876"/>
    <n v="8.5"/>
    <n v="8"/>
    <n v="-4"/>
    <n v="-4.5"/>
    <n v="486"/>
    <n v="1"/>
    <n v="50"/>
    <x v="1"/>
    <x v="1"/>
    <x v="1"/>
    <x v="0"/>
  </r>
  <r>
    <n v="238"/>
    <s v="5bde9444a53011739fbde291"/>
    <n v="2"/>
    <x v="59"/>
    <n v="5000"/>
    <n v="3.8180000000000001"/>
    <n v="2127"/>
    <n v="8.5"/>
    <n v="8"/>
    <n v="-5"/>
    <n v="-5"/>
    <n v="707"/>
    <m/>
    <m/>
    <x v="1"/>
    <x v="1"/>
    <x v="1"/>
    <x v="1"/>
  </r>
  <r>
    <n v="239"/>
    <s v="5646e6e72a6bdb446aaf6cc8"/>
    <n v="2"/>
    <x v="59"/>
    <n v="5000"/>
    <n v="3.88"/>
    <n v="20037"/>
    <n v="11"/>
    <n v="10"/>
    <n v="-10"/>
    <n v="-10"/>
    <n v="402"/>
    <n v="1"/>
    <n v="50"/>
    <x v="1"/>
    <x v="1"/>
    <x v="1"/>
    <x v="0"/>
  </r>
  <r>
    <n v="240"/>
    <s v="58d20e95c7b73b52c9670c22"/>
    <n v="2"/>
    <x v="59"/>
    <n v="5000"/>
    <n v="4.048"/>
    <n v="32778"/>
    <n v="5"/>
    <n v="6"/>
    <n v="17"/>
    <n v="17"/>
    <n v="824"/>
    <n v="1"/>
    <n v="50"/>
    <x v="1"/>
    <x v="0"/>
    <x v="2"/>
    <x v="0"/>
  </r>
  <r>
    <n v="241"/>
    <s v="56c55a76cce1893c1b8a1716"/>
    <n v="2"/>
    <x v="59"/>
    <n v="5000"/>
    <n v="4.07"/>
    <n v="5019"/>
    <n v="5"/>
    <n v="8"/>
    <n v="38"/>
    <n v="38"/>
    <n v="747"/>
    <n v="1"/>
    <n v="50"/>
    <x v="1"/>
    <x v="0"/>
    <x v="3"/>
    <x v="0"/>
  </r>
  <r>
    <n v="242"/>
    <s v="5b658cbebc3b221445ba1440"/>
    <n v="2"/>
    <x v="59"/>
    <n v="5000"/>
    <n v="4.0819999999999999"/>
    <n v="8547"/>
    <n v="7"/>
    <n v="159"/>
    <n v="96"/>
    <n v="96"/>
    <n v="1632"/>
    <n v="1"/>
    <n v="50"/>
    <x v="1"/>
    <x v="0"/>
    <x v="0"/>
    <x v="0"/>
  </r>
  <r>
    <n v="243"/>
    <s v="58dceeb2a6d6757401114dfd"/>
    <n v="2"/>
    <x v="59"/>
    <n v="5000"/>
    <n v="4.1059999999999999"/>
    <n v="31916"/>
    <n v="13"/>
    <n v="11.5"/>
    <n v="-12"/>
    <n v="-12.5"/>
    <n v="1055"/>
    <m/>
    <m/>
    <x v="1"/>
    <x v="0"/>
    <x v="1"/>
    <x v="1"/>
  </r>
  <r>
    <n v="244"/>
    <s v="599bf53b21064f19ffffc891"/>
    <n v="2"/>
    <x v="59"/>
    <n v="5000"/>
    <n v="4.1239999999999997"/>
    <n v="13127"/>
    <n v="10"/>
    <n v="18"/>
    <n v="30"/>
    <n v="29.5"/>
    <n v="275"/>
    <n v="1"/>
    <n v="50"/>
    <x v="1"/>
    <x v="0"/>
    <x v="3"/>
    <x v="0"/>
  </r>
  <r>
    <n v="245"/>
    <s v="57fc688ffcd3bb1955cb6f31"/>
    <n v="2"/>
    <x v="59"/>
    <n v="5000"/>
    <n v="4.2169999999999996"/>
    <n v="8242"/>
    <n v="7"/>
    <n v="26"/>
    <n v="74"/>
    <n v="74"/>
    <n v="542"/>
    <n v="1"/>
    <n v="50"/>
    <x v="1"/>
    <x v="0"/>
    <x v="0"/>
    <x v="0"/>
  </r>
  <r>
    <n v="246"/>
    <s v="58a6b5d975b8da57c954c719"/>
    <n v="2"/>
    <x v="59"/>
    <n v="5000"/>
    <n v="4.2859999999999996"/>
    <n v="99283"/>
    <n v="4.75"/>
    <n v="4.5"/>
    <n v="-4"/>
    <n v="-4"/>
    <n v="749"/>
    <n v="1"/>
    <n v="50"/>
    <x v="1"/>
    <x v="0"/>
    <x v="1"/>
    <x v="0"/>
  </r>
  <r>
    <n v="247"/>
    <s v="5495976a40b3782bc8b3654a"/>
    <n v="4"/>
    <x v="60"/>
    <n v="2000"/>
    <n v="3.9540000000000002"/>
    <n v="73271"/>
    <n v="9.75"/>
    <n v="11.25"/>
    <n v="5"/>
    <n v="5.25"/>
    <n v="563"/>
    <n v="1"/>
    <n v="25"/>
    <x v="1"/>
    <x v="1"/>
    <x v="2"/>
    <x v="0"/>
  </r>
  <r>
    <n v="248"/>
    <s v="5ae296b6cd968d66be12d247"/>
    <n v="3"/>
    <x v="61"/>
    <n v="2333"/>
    <n v="4.0620000000000003"/>
    <n v="3592"/>
    <n v="8.67"/>
    <n v="24.33"/>
    <n v="27"/>
    <n v="26.67"/>
    <n v="266"/>
    <n v="1"/>
    <n v="33"/>
    <x v="1"/>
    <x v="0"/>
    <x v="3"/>
    <x v="0"/>
  </r>
  <r>
    <n v="249"/>
    <s v="587f85cbb8038f4cb049c56c"/>
    <n v="3"/>
    <x v="61"/>
    <n v="2333"/>
    <n v="4.08"/>
    <n v="50864"/>
    <n v="6.27"/>
    <n v="14.33"/>
    <n v="43"/>
    <n v="43.33"/>
    <n v="432"/>
    <m/>
    <m/>
    <x v="1"/>
    <x v="0"/>
    <x v="3"/>
    <x v="1"/>
  </r>
  <r>
    <n v="250"/>
    <s v="5ae3d438c1d5187ae0dcea90"/>
    <n v="3"/>
    <x v="61"/>
    <n v="2333"/>
    <n v="4.1470000000000002"/>
    <n v="5042"/>
    <n v="10.33"/>
    <n v="27"/>
    <n v="36"/>
    <n v="36.33"/>
    <n v="433"/>
    <m/>
    <m/>
    <x v="1"/>
    <x v="0"/>
    <x v="3"/>
    <x v="1"/>
  </r>
  <r>
    <n v="251"/>
    <s v="571b38e66c39b141b1ad43e1"/>
    <n v="4"/>
    <x v="62"/>
    <n v="1550"/>
    <n v="3.8580000000000001"/>
    <n v="3053"/>
    <n v="5.75"/>
    <n v="5.5"/>
    <n v="-3"/>
    <n v="-3.5"/>
    <n v="137"/>
    <m/>
    <m/>
    <x v="1"/>
    <x v="1"/>
    <x v="1"/>
    <x v="1"/>
  </r>
  <r>
    <n v="252"/>
    <s v="58311e2257e86a1b8863f74c"/>
    <n v="4"/>
    <x v="62"/>
    <n v="1550"/>
    <n v="3.968"/>
    <n v="7076"/>
    <n v="8.5"/>
    <n v="33"/>
    <n v="36"/>
    <n v="35.75"/>
    <n v="193"/>
    <n v="3"/>
    <n v="75"/>
    <x v="1"/>
    <x v="1"/>
    <x v="3"/>
    <x v="0"/>
  </r>
  <r>
    <n v="253"/>
    <s v="58a99ceca65ebc504a6ebf1e"/>
    <n v="4"/>
    <x v="63"/>
    <n v="1505"/>
    <n v="3.9660000000000002"/>
    <n v="27175"/>
    <n v="8.9499999999999993"/>
    <n v="42.75"/>
    <n v="37"/>
    <n v="37"/>
    <n v="325"/>
    <n v="1"/>
    <n v="25"/>
    <x v="1"/>
    <x v="1"/>
    <x v="3"/>
    <x v="0"/>
  </r>
  <r>
    <n v="254"/>
    <s v="58b92804935861529969e778"/>
    <n v="3"/>
    <x v="64"/>
    <n v="2003"/>
    <n v="4.2539999999999996"/>
    <n v="6357"/>
    <n v="5.97"/>
    <n v="5.33"/>
    <n v="-11"/>
    <n v="-10.67"/>
    <n v="197"/>
    <n v="2"/>
    <n v="67"/>
    <x v="1"/>
    <x v="0"/>
    <x v="1"/>
    <x v="0"/>
  </r>
  <r>
    <n v="255"/>
    <s v="5d464f4a56a26046dd1bb8a4"/>
    <n v="2"/>
    <x v="65"/>
    <n v="3000"/>
    <n v="3.7770000000000001"/>
    <n v="779"/>
    <n v="12"/>
    <n v="11"/>
    <n v="-9"/>
    <n v="-9"/>
    <n v="491"/>
    <m/>
    <m/>
    <x v="1"/>
    <x v="1"/>
    <x v="1"/>
    <x v="1"/>
  </r>
  <r>
    <n v="256"/>
    <s v="5d49403060c79c113a908720"/>
    <n v="2"/>
    <x v="65"/>
    <n v="3000"/>
    <n v="3.871"/>
    <n v="3460"/>
    <n v="7.5"/>
    <n v="6.5"/>
    <n v="-15"/>
    <n v="-15"/>
    <n v="743"/>
    <m/>
    <m/>
    <x v="1"/>
    <x v="1"/>
    <x v="1"/>
    <x v="1"/>
  </r>
  <r>
    <n v="257"/>
    <s v="583e34bb0299bc7904a92edf"/>
    <n v="2"/>
    <x v="65"/>
    <n v="3000"/>
    <n v="4.1520000000000001"/>
    <n v="5819"/>
    <n v="9"/>
    <n v="8"/>
    <n v="-12"/>
    <n v="-12"/>
    <n v="481"/>
    <m/>
    <m/>
    <x v="1"/>
    <x v="0"/>
    <x v="1"/>
    <x v="1"/>
  </r>
  <r>
    <n v="258"/>
    <s v="5860cf7b0929fc4d76180aed"/>
    <n v="2"/>
    <x v="65"/>
    <n v="3000"/>
    <n v="4.194"/>
    <n v="124563"/>
    <n v="10"/>
    <n v="9"/>
    <n v="-11"/>
    <n v="-11"/>
    <n v="484"/>
    <m/>
    <m/>
    <x v="1"/>
    <x v="0"/>
    <x v="1"/>
    <x v="1"/>
  </r>
  <r>
    <n v="259"/>
    <s v="5788a55ba78e3f2dce4126ff"/>
    <n v="2"/>
    <x v="65"/>
    <n v="3000"/>
    <n v="4.2229999999999999"/>
    <n v="13884"/>
    <n v="3.5"/>
    <n v="3.5"/>
    <n v="0"/>
    <n v="0"/>
    <n v="858"/>
    <m/>
    <m/>
    <x v="1"/>
    <x v="0"/>
    <x v="1"/>
    <x v="1"/>
  </r>
  <r>
    <n v="260"/>
    <s v="58d0c52c19bf8b6b34178db0"/>
    <n v="2"/>
    <x v="65"/>
    <n v="3000"/>
    <n v="4.2679999999999998"/>
    <n v="30225"/>
    <n v="9.5"/>
    <n v="61"/>
    <n v="82"/>
    <n v="81.5"/>
    <n v="985"/>
    <n v="1"/>
    <n v="50"/>
    <x v="1"/>
    <x v="0"/>
    <x v="0"/>
    <x v="0"/>
  </r>
  <r>
    <n v="261"/>
    <s v="5268759b736046671957190c"/>
    <n v="5"/>
    <x v="66"/>
    <n v="1080"/>
    <n v="3.8380000000000001"/>
    <n v="91631"/>
    <n v="2.31"/>
    <n v="10"/>
    <n v="75"/>
    <n v="75.2"/>
    <n v="187"/>
    <n v="2"/>
    <n v="40"/>
    <x v="1"/>
    <x v="1"/>
    <x v="0"/>
    <x v="0"/>
  </r>
  <r>
    <n v="262"/>
    <s v="55f7c64b3a698c4749f3bccf"/>
    <n v="4"/>
    <x v="67"/>
    <n v="1313"/>
    <n v="4.0739999999999998"/>
    <n v="14676"/>
    <n v="7.75"/>
    <n v="13.5"/>
    <n v="12"/>
    <n v="11.5"/>
    <n v="308"/>
    <n v="1"/>
    <n v="25"/>
    <x v="1"/>
    <x v="0"/>
    <x v="2"/>
    <x v="0"/>
  </r>
  <r>
    <n v="263"/>
    <s v="566a47bfe9fa8a31b3ef5141"/>
    <n v="5"/>
    <x v="67"/>
    <n v="1050"/>
    <n v="4.0019999999999998"/>
    <n v="25222"/>
    <n v="6.8"/>
    <n v="32.4"/>
    <n v="68"/>
    <n v="68"/>
    <n v="279"/>
    <n v="2"/>
    <n v="40"/>
    <x v="1"/>
    <x v="0"/>
    <x v="0"/>
    <x v="0"/>
  </r>
  <r>
    <n v="264"/>
    <s v="54d83b6b6b8a771e478558de"/>
    <n v="3"/>
    <x v="68"/>
    <n v="1733"/>
    <n v="3.6960000000000002"/>
    <n v="4435"/>
    <n v="3"/>
    <n v="46.67"/>
    <n v="92"/>
    <n v="92.33"/>
    <n v="529"/>
    <n v="1"/>
    <n v="33"/>
    <x v="1"/>
    <x v="1"/>
    <x v="0"/>
    <x v="0"/>
  </r>
  <r>
    <n v="265"/>
    <s v="53f6b7c81c105e2dfac91041"/>
    <n v="3"/>
    <x v="68"/>
    <n v="1733"/>
    <n v="4.3010000000000002"/>
    <n v="225438"/>
    <n v="8.67"/>
    <n v="8"/>
    <n v="-7"/>
    <n v="-6.67"/>
    <n v="366"/>
    <n v="1"/>
    <n v="33"/>
    <x v="1"/>
    <x v="0"/>
    <x v="1"/>
    <x v="0"/>
  </r>
  <r>
    <n v="266"/>
    <s v="58ba636a69ad29505a730852"/>
    <n v="2"/>
    <x v="69"/>
    <n v="2550"/>
    <n v="3.8319999999999999"/>
    <n v="18138"/>
    <n v="3.37"/>
    <n v="43.5"/>
    <n v="54"/>
    <n v="54"/>
    <n v="154"/>
    <m/>
    <m/>
    <x v="1"/>
    <x v="1"/>
    <x v="0"/>
    <x v="1"/>
  </r>
  <r>
    <n v="267"/>
    <s v="5963882dd9b42511248ca27d"/>
    <n v="2"/>
    <x v="69"/>
    <n v="2550"/>
    <n v="3.8540000000000001"/>
    <n v="2363"/>
    <n v="10.98"/>
    <n v="10"/>
    <n v="-6"/>
    <n v="-6.5"/>
    <n v="368"/>
    <n v="1"/>
    <n v="50"/>
    <x v="1"/>
    <x v="1"/>
    <x v="1"/>
    <x v="0"/>
  </r>
  <r>
    <n v="268"/>
    <s v="5788dc8d88eb7a2e8a04b1b2"/>
    <n v="2"/>
    <x v="69"/>
    <n v="2550"/>
    <n v="3.9550000000000001"/>
    <n v="38258"/>
    <n v="12.5"/>
    <n v="35.5"/>
    <n v="33"/>
    <n v="33"/>
    <n v="458"/>
    <m/>
    <m/>
    <x v="1"/>
    <x v="1"/>
    <x v="3"/>
    <x v="1"/>
  </r>
  <r>
    <n v="269"/>
    <s v="5ad4325e9bda4e08bf7fd188"/>
    <n v="2"/>
    <x v="69"/>
    <n v="2550"/>
    <n v="4.0650000000000004"/>
    <n v="8117"/>
    <n v="17"/>
    <n v="64"/>
    <n v="36"/>
    <n v="35.5"/>
    <n v="386"/>
    <m/>
    <m/>
    <x v="1"/>
    <x v="0"/>
    <x v="3"/>
    <x v="1"/>
  </r>
  <r>
    <n v="270"/>
    <s v="5d173ba2dbf7606ee45e0b19"/>
    <n v="2"/>
    <x v="69"/>
    <n v="2550"/>
    <n v="4.2160000000000002"/>
    <n v="7851"/>
    <n v="6"/>
    <n v="17"/>
    <n v="65"/>
    <n v="65"/>
    <n v="252"/>
    <m/>
    <m/>
    <x v="1"/>
    <x v="0"/>
    <x v="0"/>
    <x v="1"/>
  </r>
  <r>
    <n v="271"/>
    <s v="5b235f8ad1c3603c027fdcda"/>
    <n v="2"/>
    <x v="69"/>
    <n v="2550"/>
    <n v="4.218"/>
    <n v="5841"/>
    <n v="10"/>
    <n v="9.5"/>
    <n v="-3"/>
    <n v="-3.5"/>
    <n v="1092"/>
    <m/>
    <m/>
    <x v="1"/>
    <x v="0"/>
    <x v="1"/>
    <x v="1"/>
  </r>
  <r>
    <n v="272"/>
    <s v="583e3e7a5022c71b82d1b18c"/>
    <n v="2"/>
    <x v="69"/>
    <n v="2550"/>
    <n v="4.2359999999999998"/>
    <n v="2199"/>
    <n v="6.34"/>
    <n v="13.5"/>
    <n v="28"/>
    <n v="28"/>
    <n v="425"/>
    <n v="1"/>
    <n v="50"/>
    <x v="1"/>
    <x v="0"/>
    <x v="3"/>
    <x v="0"/>
  </r>
  <r>
    <n v="273"/>
    <s v="5817f156d8ef7848c3b400cc"/>
    <n v="2"/>
    <x v="69"/>
    <n v="2550"/>
    <n v="4.3860000000000001"/>
    <n v="73595"/>
    <n v="11.5"/>
    <n v="128.5"/>
    <n v="91"/>
    <n v="90.5"/>
    <n v="277"/>
    <n v="2"/>
    <n v="100"/>
    <x v="1"/>
    <x v="0"/>
    <x v="0"/>
    <x v="0"/>
  </r>
  <r>
    <n v="274"/>
    <s v="593aa1956a74d26d7914a7e4"/>
    <n v="1"/>
    <x v="70"/>
    <n v="5000"/>
    <n v="3.6819999999999999"/>
    <n v="1021"/>
    <n v="12"/>
    <n v="11"/>
    <n v="-9"/>
    <n v="-9"/>
    <n v="887"/>
    <m/>
    <m/>
    <x v="1"/>
    <x v="1"/>
    <x v="1"/>
    <x v="1"/>
  </r>
  <r>
    <n v="275"/>
    <s v="59a8267535e73b1fe45b702e"/>
    <n v="1"/>
    <x v="70"/>
    <n v="5000"/>
    <n v="3.6869999999999998"/>
    <n v="1686"/>
    <n v="7"/>
    <n v="6"/>
    <n v="-16"/>
    <n v="-16"/>
    <n v="1212"/>
    <m/>
    <m/>
    <x v="1"/>
    <x v="1"/>
    <x v="1"/>
    <x v="1"/>
  </r>
  <r>
    <n v="276"/>
    <s v="5832a8766945cb1c96d3e2d8"/>
    <n v="1"/>
    <x v="70"/>
    <n v="5000"/>
    <n v="3.7949999999999999"/>
    <n v="12348"/>
    <n v="18"/>
    <n v="27"/>
    <n v="34"/>
    <n v="34"/>
    <n v="1058"/>
    <m/>
    <m/>
    <x v="1"/>
    <x v="1"/>
    <x v="3"/>
    <x v="1"/>
  </r>
  <r>
    <n v="277"/>
    <s v="58314fcb7284901b7ca0d358"/>
    <n v="1"/>
    <x v="70"/>
    <n v="5000"/>
    <n v="3.8"/>
    <n v="9678"/>
    <n v="8"/>
    <n v="8"/>
    <n v="0"/>
    <n v="0"/>
    <n v="555"/>
    <m/>
    <m/>
    <x v="1"/>
    <x v="1"/>
    <x v="1"/>
    <x v="1"/>
  </r>
  <r>
    <n v="278"/>
    <s v="57ac6144abd6d018985e34a7"/>
    <n v="1"/>
    <x v="70"/>
    <n v="5000"/>
    <n v="3.819"/>
    <n v="24095"/>
    <n v="15"/>
    <n v="13"/>
    <n v="-15"/>
    <n v="-15"/>
    <n v="1072"/>
    <m/>
    <m/>
    <x v="1"/>
    <x v="1"/>
    <x v="1"/>
    <x v="1"/>
  </r>
  <r>
    <n v="279"/>
    <s v="5ad6ddb822fad74c8ed3fa3a"/>
    <n v="1"/>
    <x v="70"/>
    <n v="5000"/>
    <n v="3.8210000000000002"/>
    <n v="1029"/>
    <n v="9"/>
    <n v="8"/>
    <n v="-12"/>
    <n v="-12"/>
    <n v="429"/>
    <m/>
    <m/>
    <x v="1"/>
    <x v="1"/>
    <x v="1"/>
    <x v="1"/>
  </r>
  <r>
    <n v="280"/>
    <s v="5ae2fae49d5e9703cfd6b63c"/>
    <n v="1"/>
    <x v="70"/>
    <n v="5000"/>
    <n v="3.843"/>
    <n v="4830"/>
    <n v="11"/>
    <n v="17"/>
    <n v="36"/>
    <n v="36"/>
    <n v="692"/>
    <n v="1"/>
    <n v="100"/>
    <x v="1"/>
    <x v="1"/>
    <x v="3"/>
    <x v="0"/>
  </r>
  <r>
    <n v="281"/>
    <s v="59e6e21337f9f80861ee895f"/>
    <n v="1"/>
    <x v="70"/>
    <n v="5000"/>
    <n v="3.8639999999999999"/>
    <n v="7631"/>
    <n v="8"/>
    <n v="50"/>
    <n v="84"/>
    <n v="84"/>
    <n v="1057"/>
    <n v="1"/>
    <n v="100"/>
    <x v="1"/>
    <x v="1"/>
    <x v="0"/>
    <x v="0"/>
  </r>
  <r>
    <n v="282"/>
    <s v="5ba8dffeb2f5b12221c73576"/>
    <n v="1"/>
    <x v="70"/>
    <n v="5000"/>
    <n v="3.8730000000000002"/>
    <n v="2608"/>
    <n v="11"/>
    <n v="108"/>
    <n v="90"/>
    <n v="90"/>
    <n v="299"/>
    <m/>
    <m/>
    <x v="1"/>
    <x v="1"/>
    <x v="0"/>
    <x v="1"/>
  </r>
  <r>
    <n v="283"/>
    <s v="58de1f5eef07c15511148726"/>
    <n v="1"/>
    <x v="70"/>
    <n v="5000"/>
    <n v="3.8969999999999998"/>
    <n v="3990"/>
    <n v="12"/>
    <n v="16"/>
    <n v="25"/>
    <n v="25"/>
    <n v="701"/>
    <m/>
    <m/>
    <x v="1"/>
    <x v="1"/>
    <x v="2"/>
    <x v="1"/>
  </r>
  <r>
    <n v="284"/>
    <s v="5a6166cbedd44230ea9c60dc"/>
    <n v="1"/>
    <x v="70"/>
    <n v="5000"/>
    <n v="3.9039999999999999"/>
    <n v="2510"/>
    <n v="8"/>
    <n v="7"/>
    <n v="-14"/>
    <n v="-14"/>
    <n v="876"/>
    <n v="1"/>
    <n v="100"/>
    <x v="1"/>
    <x v="1"/>
    <x v="1"/>
    <x v="0"/>
  </r>
  <r>
    <n v="285"/>
    <s v="5b96067f42ebca48f6c041e8"/>
    <n v="1"/>
    <x v="70"/>
    <n v="5000"/>
    <n v="3.911"/>
    <n v="4571"/>
    <n v="13"/>
    <n v="17"/>
    <n v="24"/>
    <n v="24"/>
    <n v="792"/>
    <n v="1"/>
    <n v="100"/>
    <x v="1"/>
    <x v="1"/>
    <x v="2"/>
    <x v="0"/>
  </r>
  <r>
    <n v="286"/>
    <s v="578793716b944637fa356bb4"/>
    <n v="1"/>
    <x v="70"/>
    <n v="5000"/>
    <n v="3.923"/>
    <n v="1411"/>
    <n v="6"/>
    <n v="6"/>
    <n v="0"/>
    <n v="0"/>
    <n v="609"/>
    <m/>
    <m/>
    <x v="1"/>
    <x v="1"/>
    <x v="1"/>
    <x v="1"/>
  </r>
  <r>
    <n v="287"/>
    <s v="578e02bec0e9340e993d13f4"/>
    <n v="1"/>
    <x v="70"/>
    <n v="5000"/>
    <n v="3.9460000000000002"/>
    <n v="5365"/>
    <n v="8"/>
    <n v="7"/>
    <n v="-14"/>
    <n v="-14"/>
    <n v="309"/>
    <n v="1"/>
    <n v="100"/>
    <x v="1"/>
    <x v="1"/>
    <x v="1"/>
    <x v="0"/>
  </r>
  <r>
    <n v="288"/>
    <s v="5a1a2758f3c1176a45e41544"/>
    <n v="1"/>
    <x v="70"/>
    <n v="5000"/>
    <n v="3.9460000000000002"/>
    <n v="1490"/>
    <n v="11"/>
    <n v="12"/>
    <n v="9"/>
    <n v="9"/>
    <n v="1045"/>
    <m/>
    <m/>
    <x v="1"/>
    <x v="1"/>
    <x v="2"/>
    <x v="1"/>
  </r>
  <r>
    <n v="289"/>
    <s v="576518fcf093bd5e79c5e351"/>
    <n v="1"/>
    <x v="70"/>
    <n v="5000"/>
    <n v="3.9460000000000002"/>
    <n v="17244"/>
    <n v="13"/>
    <n v="51"/>
    <n v="75"/>
    <n v="75"/>
    <n v="127"/>
    <n v="1"/>
    <n v="100"/>
    <x v="1"/>
    <x v="1"/>
    <x v="0"/>
    <x v="0"/>
  </r>
  <r>
    <n v="290"/>
    <s v="5a5a074d87c25b39c7a80ef1"/>
    <n v="1"/>
    <x v="70"/>
    <n v="5000"/>
    <n v="3.9489999999999998"/>
    <n v="9926"/>
    <n v="6"/>
    <n v="41"/>
    <n v="86"/>
    <n v="86"/>
    <n v="939"/>
    <m/>
    <m/>
    <x v="1"/>
    <x v="1"/>
    <x v="0"/>
    <x v="1"/>
  </r>
  <r>
    <n v="291"/>
    <s v="5646025ecb3a45127928c032"/>
    <n v="1"/>
    <x v="70"/>
    <n v="5000"/>
    <n v="3.9580000000000002"/>
    <n v="5660"/>
    <n v="11"/>
    <n v="10"/>
    <n v="-10"/>
    <n v="-10"/>
    <n v="1897"/>
    <m/>
    <m/>
    <x v="1"/>
    <x v="1"/>
    <x v="1"/>
    <x v="1"/>
  </r>
  <r>
    <n v="292"/>
    <s v="54f804901c36ca266909d090"/>
    <n v="1"/>
    <x v="70"/>
    <n v="5000"/>
    <n v="3.96"/>
    <n v="15173"/>
    <n v="19"/>
    <n v="17"/>
    <n v="-11"/>
    <n v="-11"/>
    <n v="1163"/>
    <n v="1"/>
    <n v="100"/>
    <x v="1"/>
    <x v="1"/>
    <x v="1"/>
    <x v="0"/>
  </r>
  <r>
    <n v="293"/>
    <s v="5b5a8a32f114fc2a4ca301d3"/>
    <n v="1"/>
    <x v="70"/>
    <n v="5000"/>
    <n v="3.96"/>
    <n v="7874"/>
    <n v="14"/>
    <n v="27"/>
    <n v="49"/>
    <n v="49"/>
    <n v="1442"/>
    <n v="1"/>
    <n v="100"/>
    <x v="1"/>
    <x v="1"/>
    <x v="3"/>
    <x v="0"/>
  </r>
  <r>
    <n v="294"/>
    <s v="57ff8bcd0712e0312f81ed73"/>
    <n v="1"/>
    <x v="70"/>
    <n v="5000"/>
    <n v="3.9660000000000002"/>
    <n v="1029"/>
    <n v="2"/>
    <n v="2"/>
    <n v="0"/>
    <n v="0"/>
    <n v="320"/>
    <m/>
    <m/>
    <x v="1"/>
    <x v="1"/>
    <x v="1"/>
    <x v="1"/>
  </r>
  <r>
    <n v="295"/>
    <s v="5ae417f567d25c041f6dd934"/>
    <n v="1"/>
    <x v="70"/>
    <n v="5000"/>
    <n v="3.9780000000000002"/>
    <n v="1288"/>
    <n v="12"/>
    <n v="17"/>
    <n v="30"/>
    <n v="30"/>
    <n v="387"/>
    <m/>
    <m/>
    <x v="1"/>
    <x v="1"/>
    <x v="3"/>
    <x v="1"/>
  </r>
  <r>
    <n v="296"/>
    <s v="5837b0dc751d4d1b6e319c73"/>
    <n v="1"/>
    <x v="70"/>
    <n v="5000"/>
    <n v="3.9809999999999999"/>
    <n v="56745"/>
    <n v="13"/>
    <n v="11"/>
    <n v="-18"/>
    <n v="-18"/>
    <n v="1224"/>
    <m/>
    <m/>
    <x v="1"/>
    <x v="1"/>
    <x v="1"/>
    <x v="1"/>
  </r>
  <r>
    <n v="297"/>
    <s v="58c4f51a77361650efb028df"/>
    <n v="1"/>
    <x v="70"/>
    <n v="5000"/>
    <n v="3.9809999999999999"/>
    <n v="1821"/>
    <n v="9"/>
    <n v="8"/>
    <n v="-12"/>
    <n v="-12"/>
    <n v="593"/>
    <m/>
    <m/>
    <x v="1"/>
    <x v="1"/>
    <x v="1"/>
    <x v="1"/>
  </r>
  <r>
    <n v="298"/>
    <s v="58160e10f870301b4bff64fc"/>
    <n v="1"/>
    <x v="70"/>
    <n v="5000"/>
    <n v="3.9860000000000002"/>
    <n v="3915"/>
    <n v="9"/>
    <n v="8"/>
    <n v="-12"/>
    <n v="-12"/>
    <n v="878"/>
    <n v="1"/>
    <n v="100"/>
    <x v="1"/>
    <x v="1"/>
    <x v="1"/>
    <x v="0"/>
  </r>
  <r>
    <n v="299"/>
    <s v="56d6cf588bd26e03ee663123"/>
    <n v="1"/>
    <x v="70"/>
    <n v="5000"/>
    <n v="3.9950000000000001"/>
    <n v="7889"/>
    <n v="9"/>
    <n v="50"/>
    <n v="82"/>
    <n v="82"/>
    <n v="985"/>
    <m/>
    <m/>
    <x v="1"/>
    <x v="1"/>
    <x v="0"/>
    <x v="1"/>
  </r>
  <r>
    <n v="300"/>
    <s v="5825d0a72cf1425389672c35"/>
    <n v="1"/>
    <x v="70"/>
    <n v="5000"/>
    <n v="4.0019999999999998"/>
    <n v="12574"/>
    <n v="8"/>
    <n v="7"/>
    <n v="-14"/>
    <n v="-14"/>
    <n v="581"/>
    <n v="1"/>
    <n v="100"/>
    <x v="1"/>
    <x v="0"/>
    <x v="1"/>
    <x v="0"/>
  </r>
  <r>
    <n v="301"/>
    <s v="5d55015e3cc46d5c40a15c19"/>
    <n v="1"/>
    <x v="70"/>
    <n v="5000"/>
    <n v="4.0149999999999997"/>
    <n v="1181"/>
    <n v="9"/>
    <n v="19"/>
    <n v="53"/>
    <n v="53"/>
    <n v="588"/>
    <m/>
    <m/>
    <x v="1"/>
    <x v="0"/>
    <x v="0"/>
    <x v="1"/>
  </r>
  <r>
    <n v="302"/>
    <s v="5d7c4cc361090057c2bc7331"/>
    <n v="1"/>
    <x v="70"/>
    <n v="5000"/>
    <n v="4.0179999999999998"/>
    <n v="571"/>
    <n v="12"/>
    <n v="13"/>
    <n v="8"/>
    <n v="8"/>
    <n v="192"/>
    <m/>
    <m/>
    <x v="1"/>
    <x v="0"/>
    <x v="2"/>
    <x v="1"/>
  </r>
  <r>
    <n v="303"/>
    <s v="5902b4eab3e322098d3b41eb"/>
    <n v="1"/>
    <x v="70"/>
    <n v="5000"/>
    <n v="4.0220000000000002"/>
    <n v="35751"/>
    <n v="11"/>
    <n v="88"/>
    <n v="88"/>
    <n v="88"/>
    <n v="1514"/>
    <m/>
    <m/>
    <x v="1"/>
    <x v="0"/>
    <x v="0"/>
    <x v="1"/>
  </r>
  <r>
    <n v="304"/>
    <s v="59afe1e030e1f33208fb2ca0"/>
    <n v="1"/>
    <x v="70"/>
    <n v="5000"/>
    <n v="4.0250000000000004"/>
    <n v="12033"/>
    <n v="7"/>
    <n v="6"/>
    <n v="-16"/>
    <n v="-16"/>
    <n v="601"/>
    <m/>
    <m/>
    <x v="1"/>
    <x v="0"/>
    <x v="1"/>
    <x v="1"/>
  </r>
  <r>
    <n v="305"/>
    <s v="5819eb90d3d4474ddf97b23e"/>
    <n v="1"/>
    <x v="70"/>
    <n v="5000"/>
    <n v="4.0289999999999999"/>
    <n v="5995"/>
    <n v="5"/>
    <n v="5"/>
    <n v="0"/>
    <n v="0"/>
    <n v="763"/>
    <m/>
    <m/>
    <x v="1"/>
    <x v="0"/>
    <x v="1"/>
    <x v="1"/>
  </r>
  <r>
    <n v="306"/>
    <s v="59cc8ef5776ab943e535b888"/>
    <n v="1"/>
    <x v="70"/>
    <n v="5000"/>
    <n v="4.04"/>
    <n v="32323"/>
    <n v="15"/>
    <n v="13"/>
    <n v="-15"/>
    <n v="-15"/>
    <n v="1632"/>
    <m/>
    <m/>
    <x v="1"/>
    <x v="0"/>
    <x v="1"/>
    <x v="1"/>
  </r>
  <r>
    <n v="307"/>
    <s v="5810b1db3deb94160f5cd4a3"/>
    <n v="1"/>
    <x v="70"/>
    <n v="5000"/>
    <n v="4.0410000000000004"/>
    <n v="15436"/>
    <n v="6"/>
    <n v="6"/>
    <n v="0"/>
    <n v="0"/>
    <n v="616"/>
    <m/>
    <m/>
    <x v="1"/>
    <x v="0"/>
    <x v="1"/>
    <x v="1"/>
  </r>
  <r>
    <n v="308"/>
    <s v="58380161e18c0f0c70dd6907"/>
    <n v="1"/>
    <x v="70"/>
    <n v="5000"/>
    <n v="4.0410000000000004"/>
    <n v="14194"/>
    <n v="8"/>
    <n v="7"/>
    <n v="-14"/>
    <n v="-14"/>
    <n v="1248"/>
    <m/>
    <m/>
    <x v="1"/>
    <x v="0"/>
    <x v="1"/>
    <x v="1"/>
  </r>
  <r>
    <n v="309"/>
    <s v="59644507366c0629be364972"/>
    <n v="1"/>
    <x v="70"/>
    <n v="5000"/>
    <n v="4.0449999999999999"/>
    <n v="12933"/>
    <n v="9"/>
    <n v="8"/>
    <n v="-12"/>
    <n v="-12"/>
    <n v="1336"/>
    <m/>
    <m/>
    <x v="1"/>
    <x v="0"/>
    <x v="1"/>
    <x v="1"/>
  </r>
  <r>
    <n v="310"/>
    <s v="59cef71c21064f20067f4313"/>
    <n v="1"/>
    <x v="70"/>
    <n v="5000"/>
    <n v="4.0460000000000003"/>
    <n v="2700"/>
    <n v="8"/>
    <n v="17"/>
    <n v="53"/>
    <n v="53"/>
    <n v="787"/>
    <m/>
    <m/>
    <x v="1"/>
    <x v="0"/>
    <x v="0"/>
    <x v="1"/>
  </r>
  <r>
    <n v="311"/>
    <s v="57adc71ab0960b039817e137"/>
    <n v="1"/>
    <x v="70"/>
    <n v="5000"/>
    <n v="4.048"/>
    <n v="24771"/>
    <n v="9"/>
    <n v="8"/>
    <n v="-12"/>
    <n v="-12"/>
    <n v="740"/>
    <m/>
    <m/>
    <x v="1"/>
    <x v="0"/>
    <x v="1"/>
    <x v="1"/>
  </r>
  <r>
    <n v="312"/>
    <s v="5a17b55d1f4d8c4f0b44b0ce"/>
    <n v="1"/>
    <x v="70"/>
    <n v="5000"/>
    <n v="4.0529999999999999"/>
    <n v="15855"/>
    <n v="18"/>
    <n v="27"/>
    <n v="34"/>
    <n v="34"/>
    <n v="1903"/>
    <m/>
    <m/>
    <x v="1"/>
    <x v="0"/>
    <x v="3"/>
    <x v="1"/>
  </r>
  <r>
    <n v="313"/>
    <s v="563a19d1f75382101530dc15"/>
    <n v="1"/>
    <x v="70"/>
    <n v="5000"/>
    <n v="4.0540000000000003"/>
    <n v="39395"/>
    <n v="8"/>
    <n v="7"/>
    <n v="-14"/>
    <n v="-14"/>
    <n v="1269"/>
    <m/>
    <m/>
    <x v="1"/>
    <x v="0"/>
    <x v="1"/>
    <x v="1"/>
  </r>
  <r>
    <n v="314"/>
    <s v="5972058b439a9828e425dd78"/>
    <n v="1"/>
    <x v="70"/>
    <n v="5000"/>
    <n v="4.0540000000000003"/>
    <n v="13879"/>
    <n v="11"/>
    <n v="11"/>
    <n v="0"/>
    <n v="0"/>
    <n v="1401"/>
    <m/>
    <m/>
    <x v="1"/>
    <x v="0"/>
    <x v="1"/>
    <x v="1"/>
  </r>
  <r>
    <n v="315"/>
    <s v="587f55e57f83404d58fe59fb"/>
    <n v="1"/>
    <x v="70"/>
    <n v="5000"/>
    <n v="4.0570000000000004"/>
    <n v="4335"/>
    <n v="9"/>
    <n v="8"/>
    <n v="-12"/>
    <n v="-12"/>
    <n v="613"/>
    <m/>
    <m/>
    <x v="1"/>
    <x v="0"/>
    <x v="1"/>
    <x v="1"/>
  </r>
  <r>
    <n v="316"/>
    <s v="587b795b0366d00c898ea210"/>
    <n v="1"/>
    <x v="70"/>
    <n v="5000"/>
    <n v="4.0579999999999998"/>
    <n v="2359"/>
    <n v="9"/>
    <n v="13"/>
    <n v="31"/>
    <n v="31"/>
    <n v="1017"/>
    <m/>
    <m/>
    <x v="1"/>
    <x v="0"/>
    <x v="3"/>
    <x v="1"/>
  </r>
  <r>
    <n v="317"/>
    <s v="58e5a2822d91301f0b3a6bd9"/>
    <n v="1"/>
    <x v="70"/>
    <n v="5000"/>
    <n v="4.0640000000000001"/>
    <n v="20824"/>
    <n v="8"/>
    <n v="65"/>
    <n v="88"/>
    <n v="88"/>
    <n v="1366"/>
    <m/>
    <m/>
    <x v="1"/>
    <x v="0"/>
    <x v="0"/>
    <x v="1"/>
  </r>
  <r>
    <n v="318"/>
    <s v="5c17357134f7db2450b03d51"/>
    <n v="1"/>
    <x v="70"/>
    <n v="5000"/>
    <n v="4.069"/>
    <n v="1998"/>
    <n v="6"/>
    <n v="29"/>
    <n v="80"/>
    <n v="80"/>
    <n v="615"/>
    <m/>
    <m/>
    <x v="1"/>
    <x v="0"/>
    <x v="0"/>
    <x v="1"/>
  </r>
  <r>
    <n v="319"/>
    <s v="53e4bb20ff4d6d1b68bdb6d1"/>
    <n v="1"/>
    <x v="70"/>
    <n v="5000"/>
    <n v="4.0709999999999997"/>
    <n v="253249"/>
    <n v="3.67"/>
    <n v="9"/>
    <n v="60"/>
    <n v="60"/>
    <n v="510"/>
    <n v="1"/>
    <n v="100"/>
    <x v="1"/>
    <x v="0"/>
    <x v="0"/>
    <x v="0"/>
  </r>
  <r>
    <n v="320"/>
    <s v="5528e31e43a8db0c29241cd1"/>
    <n v="1"/>
    <x v="70"/>
    <n v="5000"/>
    <n v="4.0810000000000004"/>
    <n v="8500"/>
    <n v="11"/>
    <n v="10"/>
    <n v="-10"/>
    <n v="-10"/>
    <n v="728"/>
    <m/>
    <m/>
    <x v="1"/>
    <x v="0"/>
    <x v="1"/>
    <x v="1"/>
  </r>
  <r>
    <n v="321"/>
    <s v="5641e263906c9c12737e6725"/>
    <n v="1"/>
    <x v="70"/>
    <n v="5000"/>
    <n v="4.0890000000000004"/>
    <n v="5534"/>
    <n v="5.65"/>
    <n v="9"/>
    <n v="38"/>
    <n v="38"/>
    <n v="1002"/>
    <n v="1"/>
    <n v="100"/>
    <x v="1"/>
    <x v="0"/>
    <x v="3"/>
    <x v="0"/>
  </r>
  <r>
    <n v="322"/>
    <s v="56dd52e8e0a234169b46c4ca"/>
    <n v="1"/>
    <x v="70"/>
    <n v="5000"/>
    <n v="4.0910000000000002"/>
    <n v="14275"/>
    <n v="9"/>
    <n v="8"/>
    <n v="-12"/>
    <n v="-12"/>
    <n v="827"/>
    <m/>
    <m/>
    <x v="1"/>
    <x v="0"/>
    <x v="1"/>
    <x v="1"/>
  </r>
  <r>
    <n v="323"/>
    <s v="530306fe34067e3f15c41d87"/>
    <n v="1"/>
    <x v="70"/>
    <n v="5000"/>
    <n v="4.093"/>
    <n v="9116"/>
    <n v="19"/>
    <n v="21"/>
    <n v="10"/>
    <n v="10"/>
    <n v="1561"/>
    <n v="1"/>
    <n v="100"/>
    <x v="1"/>
    <x v="0"/>
    <x v="2"/>
    <x v="0"/>
  </r>
  <r>
    <n v="324"/>
    <s v="5e50d52818034a6835aeed37"/>
    <n v="1"/>
    <x v="70"/>
    <n v="5000"/>
    <n v="4.0999999999999996"/>
    <n v="591"/>
    <n v="2"/>
    <n v="7"/>
    <n v="72"/>
    <n v="72"/>
    <n v="239"/>
    <m/>
    <m/>
    <x v="1"/>
    <x v="0"/>
    <x v="0"/>
    <x v="1"/>
  </r>
  <r>
    <n v="325"/>
    <s v="5b5576f84543f458aee346fb"/>
    <n v="1"/>
    <x v="70"/>
    <n v="5000"/>
    <n v="4.1100000000000003"/>
    <n v="4220"/>
    <n v="14"/>
    <n v="26"/>
    <n v="47"/>
    <n v="47"/>
    <n v="437"/>
    <m/>
    <m/>
    <x v="1"/>
    <x v="0"/>
    <x v="3"/>
    <x v="1"/>
  </r>
  <r>
    <n v="326"/>
    <s v="585a8e9a7b78704cd251a232"/>
    <n v="1"/>
    <x v="70"/>
    <n v="5000"/>
    <n v="4.1210000000000004"/>
    <n v="11883"/>
    <n v="5"/>
    <n v="5"/>
    <n v="0"/>
    <n v="0"/>
    <n v="883"/>
    <m/>
    <m/>
    <x v="1"/>
    <x v="0"/>
    <x v="1"/>
    <x v="1"/>
  </r>
  <r>
    <n v="327"/>
    <s v="5878edca3497136a61732df9"/>
    <n v="1"/>
    <x v="70"/>
    <n v="5000"/>
    <n v="4.1310000000000002"/>
    <n v="4921"/>
    <n v="8"/>
    <n v="7"/>
    <n v="-14"/>
    <n v="-14"/>
    <n v="983"/>
    <m/>
    <m/>
    <x v="1"/>
    <x v="0"/>
    <x v="1"/>
    <x v="1"/>
  </r>
  <r>
    <n v="328"/>
    <s v="585f9ac5d7d14e4d51c16d4e"/>
    <n v="1"/>
    <x v="70"/>
    <n v="5000"/>
    <n v="4.1349999999999998"/>
    <n v="33705"/>
    <n v="7"/>
    <n v="9"/>
    <n v="23"/>
    <n v="23"/>
    <n v="1169"/>
    <n v="1"/>
    <n v="100"/>
    <x v="1"/>
    <x v="0"/>
    <x v="2"/>
    <x v="0"/>
  </r>
  <r>
    <n v="329"/>
    <s v="543cf22998dc200761d621b2"/>
    <n v="1"/>
    <x v="70"/>
    <n v="5000"/>
    <n v="4.1379999999999999"/>
    <n v="9465"/>
    <n v="5.69"/>
    <n v="17"/>
    <n v="67"/>
    <n v="67"/>
    <n v="922"/>
    <m/>
    <m/>
    <x v="1"/>
    <x v="0"/>
    <x v="0"/>
    <x v="1"/>
  </r>
  <r>
    <n v="330"/>
    <s v="5ae6dab8b125ab6825502d06"/>
    <n v="1"/>
    <x v="70"/>
    <n v="5000"/>
    <n v="4.1459999999999999"/>
    <n v="2293"/>
    <n v="3.73"/>
    <n v="9"/>
    <n v="59"/>
    <n v="59"/>
    <n v="856"/>
    <m/>
    <m/>
    <x v="1"/>
    <x v="0"/>
    <x v="0"/>
    <x v="1"/>
  </r>
  <r>
    <n v="331"/>
    <s v="5911220e84aaef7ce5d732ef"/>
    <n v="1"/>
    <x v="70"/>
    <n v="5000"/>
    <n v="4.1559999999999997"/>
    <n v="13308"/>
    <n v="6"/>
    <n v="17"/>
    <n v="65"/>
    <n v="65"/>
    <n v="1650"/>
    <m/>
    <m/>
    <x v="1"/>
    <x v="0"/>
    <x v="0"/>
    <x v="1"/>
  </r>
  <r>
    <n v="332"/>
    <s v="587b63ed3cca004cbd02d7d3"/>
    <n v="1"/>
    <x v="70"/>
    <n v="5000"/>
    <n v="4.1580000000000004"/>
    <n v="6476"/>
    <n v="6"/>
    <n v="38"/>
    <n v="85"/>
    <n v="85"/>
    <n v="1442"/>
    <m/>
    <m/>
    <x v="1"/>
    <x v="0"/>
    <x v="0"/>
    <x v="1"/>
  </r>
  <r>
    <n v="333"/>
    <s v="5e673ce450536b05cca259f2"/>
    <n v="1"/>
    <x v="70"/>
    <n v="5000"/>
    <n v="4.1710000000000003"/>
    <n v="602"/>
    <n v="11"/>
    <n v="38"/>
    <n v="72"/>
    <n v="72"/>
    <n v="377"/>
    <m/>
    <m/>
    <x v="1"/>
    <x v="0"/>
    <x v="0"/>
    <x v="1"/>
  </r>
  <r>
    <n v="334"/>
    <s v="59e70d8ceea5c546fa152f42"/>
    <n v="1"/>
    <x v="70"/>
    <n v="5000"/>
    <n v="4.1760000000000002"/>
    <n v="8166"/>
    <n v="8"/>
    <n v="7"/>
    <n v="-14"/>
    <n v="-14"/>
    <n v="917"/>
    <m/>
    <m/>
    <x v="1"/>
    <x v="0"/>
    <x v="1"/>
    <x v="1"/>
  </r>
  <r>
    <n v="335"/>
    <s v="56db028b3a9cb801c374b3c6"/>
    <n v="1"/>
    <x v="70"/>
    <n v="5000"/>
    <n v="4.1769999999999996"/>
    <n v="9486"/>
    <n v="6"/>
    <n v="6"/>
    <n v="0"/>
    <n v="0"/>
    <n v="901"/>
    <m/>
    <m/>
    <x v="1"/>
    <x v="0"/>
    <x v="1"/>
    <x v="1"/>
  </r>
  <r>
    <n v="336"/>
    <s v="57e00221b8115e1061a6f6d0"/>
    <n v="1"/>
    <x v="70"/>
    <n v="5000"/>
    <n v="4.1779999999999999"/>
    <n v="4373"/>
    <n v="8"/>
    <n v="7"/>
    <n v="-14"/>
    <n v="-14"/>
    <n v="957"/>
    <m/>
    <m/>
    <x v="1"/>
    <x v="0"/>
    <x v="1"/>
    <x v="1"/>
  </r>
  <r>
    <n v="337"/>
    <s v="5a5f153e430b71500d87877c"/>
    <n v="1"/>
    <x v="70"/>
    <n v="5000"/>
    <n v="4.1929999999999996"/>
    <n v="4632"/>
    <n v="8"/>
    <n v="58"/>
    <n v="87"/>
    <n v="87"/>
    <n v="920"/>
    <m/>
    <m/>
    <x v="1"/>
    <x v="0"/>
    <x v="0"/>
    <x v="1"/>
  </r>
  <r>
    <n v="338"/>
    <s v="58f0a6738a60c363c1281d72"/>
    <n v="1"/>
    <x v="70"/>
    <n v="5000"/>
    <n v="4.1929999999999996"/>
    <n v="11680"/>
    <n v="7"/>
    <n v="25"/>
    <n v="72"/>
    <n v="72"/>
    <n v="774"/>
    <m/>
    <m/>
    <x v="1"/>
    <x v="0"/>
    <x v="0"/>
    <x v="1"/>
  </r>
  <r>
    <n v="339"/>
    <s v="540ec1f21d2d431f2d4b5cb6"/>
    <n v="1"/>
    <x v="70"/>
    <n v="5000"/>
    <n v="4.2"/>
    <n v="3532"/>
    <n v="8"/>
    <n v="122"/>
    <n v="94"/>
    <n v="94"/>
    <n v="1355"/>
    <m/>
    <m/>
    <x v="1"/>
    <x v="0"/>
    <x v="0"/>
    <x v="1"/>
  </r>
  <r>
    <n v="340"/>
    <s v="54236fbbf6d29616559514c9"/>
    <n v="1"/>
    <x v="70"/>
    <n v="5000"/>
    <n v="4.2160000000000002"/>
    <n v="41906"/>
    <n v="8"/>
    <n v="27"/>
    <n v="71"/>
    <n v="71"/>
    <n v="921"/>
    <m/>
    <m/>
    <x v="1"/>
    <x v="0"/>
    <x v="0"/>
    <x v="1"/>
  </r>
  <r>
    <n v="341"/>
    <s v="59538508e81e8a67610d9c8b"/>
    <n v="1"/>
    <x v="70"/>
    <n v="5000"/>
    <n v="4.226"/>
    <n v="13075"/>
    <n v="14"/>
    <n v="68"/>
    <n v="80"/>
    <n v="80"/>
    <n v="734"/>
    <m/>
    <m/>
    <x v="1"/>
    <x v="0"/>
    <x v="0"/>
    <x v="1"/>
  </r>
  <r>
    <n v="342"/>
    <s v="5ad02d61ccf0c866db06b8c9"/>
    <n v="1"/>
    <x v="70"/>
    <n v="5000"/>
    <n v="4.2279999999999998"/>
    <n v="2114"/>
    <n v="5.69"/>
    <n v="5"/>
    <n v="-13"/>
    <n v="-13"/>
    <n v="437"/>
    <m/>
    <m/>
    <x v="1"/>
    <x v="0"/>
    <x v="1"/>
    <x v="1"/>
  </r>
  <r>
    <n v="343"/>
    <s v="5a69c113da6ce6220cd14e05"/>
    <n v="1"/>
    <x v="70"/>
    <n v="5000"/>
    <n v="4.2300000000000004"/>
    <n v="8740"/>
    <n v="5"/>
    <n v="5"/>
    <n v="0"/>
    <n v="0"/>
    <n v="667"/>
    <m/>
    <m/>
    <x v="1"/>
    <x v="0"/>
    <x v="1"/>
    <x v="1"/>
  </r>
  <r>
    <n v="344"/>
    <s v="5435ef5d01c0c057210e6b32"/>
    <n v="1"/>
    <x v="70"/>
    <n v="5000"/>
    <n v="4.2309999999999999"/>
    <n v="228676"/>
    <n v="16"/>
    <n v="34"/>
    <n v="53"/>
    <n v="53"/>
    <n v="1612"/>
    <n v="1"/>
    <n v="100"/>
    <x v="1"/>
    <x v="0"/>
    <x v="0"/>
    <x v="0"/>
  </r>
  <r>
    <n v="345"/>
    <s v="5950dd272eac1127e00c4883"/>
    <n v="1"/>
    <x v="70"/>
    <n v="5000"/>
    <n v="4.2320000000000002"/>
    <n v="5985"/>
    <n v="14"/>
    <n v="89"/>
    <n v="85"/>
    <n v="85"/>
    <n v="647"/>
    <m/>
    <m/>
    <x v="1"/>
    <x v="0"/>
    <x v="0"/>
    <x v="1"/>
  </r>
  <r>
    <n v="346"/>
    <s v="59e968275d6f342463a6157b"/>
    <n v="1"/>
    <x v="70"/>
    <n v="5000"/>
    <n v="4.2370000000000001"/>
    <n v="24306"/>
    <n v="13"/>
    <n v="68"/>
    <n v="81"/>
    <n v="81"/>
    <n v="1095"/>
    <n v="1"/>
    <n v="100"/>
    <x v="1"/>
    <x v="0"/>
    <x v="0"/>
    <x v="0"/>
  </r>
  <r>
    <n v="347"/>
    <s v="56d954c8d30d44338d07e50a"/>
    <n v="1"/>
    <x v="70"/>
    <n v="5000"/>
    <n v="4.25"/>
    <n v="4809"/>
    <n v="7"/>
    <n v="22"/>
    <n v="69"/>
    <n v="69"/>
    <n v="797"/>
    <m/>
    <m/>
    <x v="1"/>
    <x v="0"/>
    <x v="0"/>
    <x v="1"/>
  </r>
  <r>
    <n v="348"/>
    <s v="58eb0bacd36f081046b7149c"/>
    <n v="1"/>
    <x v="70"/>
    <n v="5000"/>
    <n v="4.2510000000000003"/>
    <n v="2380"/>
    <n v="8"/>
    <n v="7"/>
    <n v="-14"/>
    <n v="-14"/>
    <n v="870"/>
    <m/>
    <m/>
    <x v="1"/>
    <x v="0"/>
    <x v="1"/>
    <x v="1"/>
  </r>
  <r>
    <n v="349"/>
    <s v="582173d6797f2308a87626e7"/>
    <n v="1"/>
    <x v="70"/>
    <n v="5000"/>
    <n v="4.2519999999999998"/>
    <n v="92654"/>
    <n v="5.65"/>
    <n v="5"/>
    <n v="-13"/>
    <n v="-13"/>
    <n v="998"/>
    <m/>
    <m/>
    <x v="1"/>
    <x v="0"/>
    <x v="1"/>
    <x v="1"/>
  </r>
  <r>
    <n v="350"/>
    <s v="5ac0310597223354603de223"/>
    <n v="1"/>
    <x v="70"/>
    <n v="5000"/>
    <n v="4.2530000000000001"/>
    <n v="4610"/>
    <n v="11"/>
    <n v="10"/>
    <n v="-10"/>
    <n v="-10"/>
    <n v="1556"/>
    <m/>
    <m/>
    <x v="1"/>
    <x v="0"/>
    <x v="1"/>
    <x v="1"/>
  </r>
  <r>
    <n v="351"/>
    <s v="5576bb43de4a8c24953ae98f"/>
    <n v="1"/>
    <x v="70"/>
    <n v="5000"/>
    <n v="4.2569999999999997"/>
    <n v="23609"/>
    <n v="11"/>
    <n v="10"/>
    <n v="-10"/>
    <n v="-10"/>
    <n v="1183"/>
    <m/>
    <m/>
    <x v="1"/>
    <x v="0"/>
    <x v="1"/>
    <x v="1"/>
  </r>
  <r>
    <n v="352"/>
    <s v="58be241991fd205b2462acc3"/>
    <n v="1"/>
    <x v="70"/>
    <n v="5000"/>
    <n v="4.2610000000000001"/>
    <n v="32386"/>
    <n v="14"/>
    <n v="84"/>
    <n v="84"/>
    <n v="84"/>
    <n v="686"/>
    <m/>
    <m/>
    <x v="1"/>
    <x v="0"/>
    <x v="0"/>
    <x v="1"/>
  </r>
  <r>
    <n v="353"/>
    <s v="53c62f6b46188e177eb57b6d"/>
    <n v="1"/>
    <x v="70"/>
    <n v="5000"/>
    <n v="4.2670000000000003"/>
    <n v="12083"/>
    <n v="16"/>
    <n v="56"/>
    <n v="72"/>
    <n v="72"/>
    <n v="781"/>
    <n v="1"/>
    <n v="100"/>
    <x v="1"/>
    <x v="0"/>
    <x v="0"/>
    <x v="0"/>
  </r>
  <r>
    <n v="354"/>
    <s v="59410b5a7c64942ee36dad7a"/>
    <n v="1"/>
    <x v="70"/>
    <n v="5000"/>
    <n v="4.2789999999999999"/>
    <n v="3209"/>
    <n v="8"/>
    <n v="7"/>
    <n v="-14"/>
    <n v="-14"/>
    <n v="894"/>
    <m/>
    <m/>
    <x v="1"/>
    <x v="0"/>
    <x v="1"/>
    <x v="1"/>
  </r>
  <r>
    <n v="355"/>
    <s v="578e0488ba8cd20e9b1b4a3b"/>
    <n v="1"/>
    <x v="70"/>
    <n v="5000"/>
    <n v="4.2969999999999997"/>
    <n v="13510"/>
    <n v="5"/>
    <n v="5"/>
    <n v="0"/>
    <n v="0"/>
    <n v="1013"/>
    <n v="1"/>
    <n v="100"/>
    <x v="1"/>
    <x v="0"/>
    <x v="1"/>
    <x v="0"/>
  </r>
  <r>
    <n v="356"/>
    <s v="589ae185ad330a4feb2b6dd5"/>
    <n v="1"/>
    <x v="70"/>
    <n v="5000"/>
    <n v="4.2990000000000004"/>
    <n v="68339"/>
    <n v="8"/>
    <n v="7"/>
    <n v="-14"/>
    <n v="-14"/>
    <n v="2737"/>
    <n v="1"/>
    <n v="100"/>
    <x v="1"/>
    <x v="0"/>
    <x v="1"/>
    <x v="0"/>
  </r>
  <r>
    <n v="357"/>
    <s v="593f5bc925c4f57281c63593"/>
    <n v="1"/>
    <x v="70"/>
    <n v="5000"/>
    <n v="4.3040000000000003"/>
    <n v="4191"/>
    <n v="3"/>
    <n v="17"/>
    <n v="83"/>
    <n v="83"/>
    <n v="788"/>
    <m/>
    <m/>
    <x v="1"/>
    <x v="0"/>
    <x v="0"/>
    <x v="1"/>
  </r>
  <r>
    <n v="358"/>
    <s v="547bdd648edcfa5656cac810"/>
    <n v="1"/>
    <x v="70"/>
    <n v="5000"/>
    <n v="4.306"/>
    <n v="223392"/>
    <n v="2.66"/>
    <n v="3"/>
    <n v="12"/>
    <n v="12"/>
    <n v="1136"/>
    <m/>
    <m/>
    <x v="1"/>
    <x v="0"/>
    <x v="2"/>
    <x v="1"/>
  </r>
  <r>
    <n v="359"/>
    <s v="58f6f47891a95f10f0c54b8c"/>
    <n v="1"/>
    <x v="70"/>
    <n v="5000"/>
    <n v="4.3159999999999998"/>
    <n v="92005"/>
    <n v="8"/>
    <n v="7"/>
    <n v="-14"/>
    <n v="-14"/>
    <n v="1512"/>
    <m/>
    <m/>
    <x v="1"/>
    <x v="0"/>
    <x v="1"/>
    <x v="1"/>
  </r>
  <r>
    <n v="360"/>
    <s v="561921dd9342a274cb448c07"/>
    <n v="1"/>
    <x v="70"/>
    <n v="5000"/>
    <n v="4.3970000000000002"/>
    <n v="1963"/>
    <n v="8"/>
    <n v="17"/>
    <n v="53"/>
    <n v="53"/>
    <n v="907"/>
    <m/>
    <m/>
    <x v="1"/>
    <x v="0"/>
    <x v="0"/>
    <x v="1"/>
  </r>
  <r>
    <n v="361"/>
    <s v="5879cca64f3f2e4e79ae70ae"/>
    <n v="1"/>
    <x v="70"/>
    <n v="5000"/>
    <n v="4.3979999999999997"/>
    <n v="12666"/>
    <n v="4"/>
    <n v="26"/>
    <n v="85"/>
    <n v="85"/>
    <n v="825"/>
    <m/>
    <m/>
    <x v="1"/>
    <x v="0"/>
    <x v="0"/>
    <x v="1"/>
  </r>
  <r>
    <n v="362"/>
    <s v="585a1ec0b357934ca66b1457"/>
    <n v="1"/>
    <x v="70"/>
    <n v="5000"/>
    <n v="4.4649999999999999"/>
    <n v="47476"/>
    <n v="11"/>
    <n v="26"/>
    <n v="58"/>
    <n v="58"/>
    <n v="1571"/>
    <m/>
    <m/>
    <x v="1"/>
    <x v="0"/>
    <x v="0"/>
    <x v="1"/>
  </r>
  <r>
    <n v="363"/>
    <s v="59b29ff23eb22a1355606548"/>
    <n v="1"/>
    <x v="70"/>
    <n v="5000"/>
    <n v="4.4710000000000001"/>
    <n v="19184"/>
    <n v="15"/>
    <n v="13"/>
    <n v="-15"/>
    <n v="-15"/>
    <n v="1257"/>
    <m/>
    <m/>
    <x v="1"/>
    <x v="0"/>
    <x v="1"/>
    <x v="1"/>
  </r>
  <r>
    <n v="364"/>
    <s v="545c2b1790c776172b72d5ab"/>
    <n v="4"/>
    <x v="71"/>
    <n v="1000"/>
    <n v="4.0570000000000004"/>
    <n v="47356"/>
    <n v="13"/>
    <n v="11.25"/>
    <n v="-15"/>
    <n v="-15"/>
    <n v="407"/>
    <n v="2"/>
    <n v="50"/>
    <x v="2"/>
    <x v="0"/>
    <x v="1"/>
    <x v="0"/>
  </r>
  <r>
    <n v="365"/>
    <s v="5aa78a0c75599a5bd049d682"/>
    <n v="5"/>
    <x v="72"/>
    <n v="640"/>
    <n v="4.0330000000000004"/>
    <n v="5264"/>
    <n v="9.1999999999999993"/>
    <n v="11"/>
    <n v="17"/>
    <n v="16.600000000000001"/>
    <n v="261"/>
    <n v="1"/>
    <n v="20"/>
    <x v="2"/>
    <x v="0"/>
    <x v="2"/>
    <x v="0"/>
  </r>
  <r>
    <n v="366"/>
    <s v="5ae00dbf67d25c69bcf0251c"/>
    <n v="4"/>
    <x v="73"/>
    <n v="775"/>
    <n v="4.1950000000000003"/>
    <n v="4811"/>
    <n v="11.5"/>
    <n v="22.75"/>
    <n v="14"/>
    <n v="13.5"/>
    <n v="167"/>
    <n v="2"/>
    <n v="50"/>
    <x v="2"/>
    <x v="0"/>
    <x v="2"/>
    <x v="0"/>
  </r>
  <r>
    <n v="367"/>
    <s v="5e5363458cd99e4035bcd1c8"/>
    <n v="3"/>
    <x v="74"/>
    <n v="1000"/>
    <n v="3.96"/>
    <n v="703"/>
    <n v="8.6199999999999992"/>
    <n v="63"/>
    <n v="86"/>
    <n v="86.33"/>
    <n v="86"/>
    <n v="1"/>
    <n v="33"/>
    <x v="2"/>
    <x v="1"/>
    <x v="0"/>
    <x v="0"/>
  </r>
  <r>
    <n v="368"/>
    <s v="56fba259138ef73c2a749a56"/>
    <n v="6"/>
    <x v="75"/>
    <n v="400"/>
    <n v="3.9590000000000001"/>
    <n v="5654"/>
    <n v="3.12"/>
    <n v="3.33"/>
    <n v="9"/>
    <n v="8.67"/>
    <n v="97"/>
    <n v="3"/>
    <n v="50"/>
    <x v="2"/>
    <x v="1"/>
    <x v="2"/>
    <x v="0"/>
  </r>
  <r>
    <n v="369"/>
    <s v="5177b0b63feb620dd802a197"/>
    <n v="5"/>
    <x v="76"/>
    <n v="460"/>
    <n v="3.79"/>
    <n v="105015"/>
    <n v="6.83"/>
    <n v="6.6"/>
    <n v="1"/>
    <n v="1"/>
    <n v="64"/>
    <n v="2"/>
    <n v="40"/>
    <x v="2"/>
    <x v="1"/>
    <x v="2"/>
    <x v="0"/>
  </r>
  <r>
    <n v="370"/>
    <s v="5d5256c527752b19063d8c53"/>
    <n v="5"/>
    <x v="76"/>
    <n v="460"/>
    <n v="3.9430000000000001"/>
    <n v="247"/>
    <n v="7.53"/>
    <n v="6.8"/>
    <n v="-7"/>
    <n v="-7"/>
    <n v="51"/>
    <n v="2"/>
    <n v="40"/>
    <x v="2"/>
    <x v="1"/>
    <x v="1"/>
    <x v="0"/>
  </r>
  <r>
    <n v="371"/>
    <s v="5d4a717070327a03c1e7644e"/>
    <n v="5"/>
    <x v="77"/>
    <n v="450"/>
    <n v="3.7970000000000002"/>
    <n v="3762"/>
    <n v="6.03"/>
    <n v="7"/>
    <n v="21"/>
    <n v="21.2"/>
    <n v="34"/>
    <n v="4"/>
    <n v="80"/>
    <x v="2"/>
    <x v="1"/>
    <x v="2"/>
    <x v="0"/>
  </r>
  <r>
    <n v="372"/>
    <s v="5952a218e81e8a4c30b5bbbc"/>
    <n v="4"/>
    <x v="78"/>
    <n v="550"/>
    <n v="3.9569999999999999"/>
    <n v="9470"/>
    <n v="6.37"/>
    <n v="5.5"/>
    <n v="-15"/>
    <n v="-15.25"/>
    <n v="197"/>
    <n v="1"/>
    <n v="25"/>
    <x v="2"/>
    <x v="1"/>
    <x v="1"/>
    <x v="0"/>
  </r>
  <r>
    <n v="373"/>
    <s v="5ae7cee3a71fbf0725de5d43"/>
    <n v="4"/>
    <x v="78"/>
    <n v="550"/>
    <n v="4.0030000000000001"/>
    <n v="2044"/>
    <n v="5.89"/>
    <n v="21.5"/>
    <n v="60"/>
    <n v="59.5"/>
    <n v="84"/>
    <n v="2"/>
    <n v="50"/>
    <x v="2"/>
    <x v="0"/>
    <x v="0"/>
    <x v="0"/>
  </r>
  <r>
    <n v="374"/>
    <s v="570e15d2a18a3f5bc5285b9d"/>
    <n v="3"/>
    <x v="79"/>
    <n v="700"/>
    <n v="3.9529999999999998"/>
    <n v="7858"/>
    <n v="6.55"/>
    <n v="14.67"/>
    <n v="43"/>
    <n v="43"/>
    <n v="235"/>
    <n v="1"/>
    <n v="33"/>
    <x v="2"/>
    <x v="1"/>
    <x v="3"/>
    <x v="0"/>
  </r>
  <r>
    <n v="375"/>
    <s v="56c6a33fabb774437118cd63"/>
    <n v="3"/>
    <x v="79"/>
    <n v="700"/>
    <n v="3.9649999999999999"/>
    <n v="7936"/>
    <n v="6"/>
    <n v="5.67"/>
    <n v="-3"/>
    <n v="-3"/>
    <n v="86"/>
    <n v="1"/>
    <n v="33"/>
    <x v="2"/>
    <x v="1"/>
    <x v="1"/>
    <x v="0"/>
  </r>
  <r>
    <n v="376"/>
    <s v="5ae29b4e1baafe7c0109c5ae"/>
    <n v="3"/>
    <x v="79"/>
    <n v="700"/>
    <n v="4.024"/>
    <n v="3300"/>
    <n v="7.67"/>
    <n v="25.33"/>
    <n v="40"/>
    <n v="39.67"/>
    <n v="151"/>
    <m/>
    <m/>
    <x v="2"/>
    <x v="0"/>
    <x v="3"/>
    <x v="1"/>
  </r>
  <r>
    <n v="377"/>
    <s v="58c35950e2de036da9e2b570"/>
    <n v="3"/>
    <x v="79"/>
    <n v="700"/>
    <n v="4.0640000000000001"/>
    <n v="38985"/>
    <n v="9.67"/>
    <n v="48"/>
    <n v="65"/>
    <n v="65.33"/>
    <n v="359"/>
    <n v="1"/>
    <n v="33"/>
    <x v="2"/>
    <x v="0"/>
    <x v="0"/>
    <x v="0"/>
  </r>
  <r>
    <n v="378"/>
    <s v="5abb2cf26be8733b5bf6844f"/>
    <n v="3"/>
    <x v="79"/>
    <n v="700"/>
    <n v="4.117"/>
    <n v="31138"/>
    <n v="3.53"/>
    <n v="6.67"/>
    <n v="48"/>
    <n v="48.33"/>
    <n v="86"/>
    <n v="1"/>
    <n v="33"/>
    <x v="2"/>
    <x v="0"/>
    <x v="3"/>
    <x v="0"/>
  </r>
  <r>
    <n v="379"/>
    <s v="58259c456ebae74739ecfdc8"/>
    <n v="3"/>
    <x v="79"/>
    <n v="700"/>
    <n v="4.1500000000000004"/>
    <n v="2248"/>
    <n v="9.67"/>
    <n v="9"/>
    <n v="-6"/>
    <n v="-6"/>
    <n v="249"/>
    <n v="2"/>
    <n v="67"/>
    <x v="2"/>
    <x v="0"/>
    <x v="1"/>
    <x v="0"/>
  </r>
  <r>
    <n v="380"/>
    <s v="5ae93337d204cc177313f242"/>
    <n v="3"/>
    <x v="79"/>
    <n v="700"/>
    <n v="4.2320000000000002"/>
    <n v="4516"/>
    <n v="9.33"/>
    <n v="20.329999999999998"/>
    <n v="52"/>
    <n v="52.33"/>
    <n v="87"/>
    <m/>
    <m/>
    <x v="2"/>
    <x v="0"/>
    <x v="0"/>
    <x v="1"/>
  </r>
  <r>
    <n v="381"/>
    <s v="5d46d6fd4c78550b43ab8351"/>
    <n v="2"/>
    <x v="80"/>
    <n v="1000"/>
    <n v="3.476"/>
    <n v="942"/>
    <n v="8"/>
    <n v="7"/>
    <n v="-14"/>
    <n v="-14"/>
    <n v="86"/>
    <m/>
    <m/>
    <x v="2"/>
    <x v="2"/>
    <x v="1"/>
    <x v="1"/>
  </r>
  <r>
    <n v="382"/>
    <s v="5eba4507ad610e0589cab8c3"/>
    <n v="2"/>
    <x v="80"/>
    <n v="1000"/>
    <n v="3.677"/>
    <n v="232"/>
    <n v="6"/>
    <n v="10"/>
    <n v="40"/>
    <n v="40"/>
    <n v="87"/>
    <n v="1"/>
    <n v="50"/>
    <x v="2"/>
    <x v="1"/>
    <x v="3"/>
    <x v="0"/>
  </r>
  <r>
    <n v="383"/>
    <s v="565c293d99558d1ed8ae7fb2"/>
    <n v="2"/>
    <x v="80"/>
    <n v="1000"/>
    <n v="3.81"/>
    <n v="28295"/>
    <n v="6.9"/>
    <n v="20"/>
    <n v="56"/>
    <n v="55.5"/>
    <n v="104"/>
    <m/>
    <m/>
    <x v="2"/>
    <x v="1"/>
    <x v="0"/>
    <x v="1"/>
  </r>
  <r>
    <n v="384"/>
    <s v="583512a3b63b3b249b0acc46"/>
    <n v="2"/>
    <x v="80"/>
    <n v="1000"/>
    <n v="3.8620000000000001"/>
    <n v="25914"/>
    <n v="6"/>
    <n v="47"/>
    <n v="88"/>
    <n v="88"/>
    <n v="134"/>
    <n v="1"/>
    <n v="50"/>
    <x v="2"/>
    <x v="1"/>
    <x v="0"/>
    <x v="0"/>
  </r>
  <r>
    <n v="385"/>
    <s v="55d18ce6183a5d103f970011"/>
    <n v="2"/>
    <x v="80"/>
    <n v="1000"/>
    <n v="3.871"/>
    <n v="13979"/>
    <n v="5.5"/>
    <n v="19"/>
    <n v="67"/>
    <n v="67"/>
    <n v="62"/>
    <m/>
    <m/>
    <x v="2"/>
    <x v="1"/>
    <x v="0"/>
    <x v="1"/>
  </r>
  <r>
    <n v="386"/>
    <s v="547d7e413b64451274068583"/>
    <n v="2"/>
    <x v="80"/>
    <n v="1000"/>
    <n v="3.895"/>
    <n v="25631"/>
    <n v="5.85"/>
    <n v="13"/>
    <n v="55"/>
    <n v="55"/>
    <n v="602"/>
    <n v="1"/>
    <n v="50"/>
    <x v="2"/>
    <x v="1"/>
    <x v="0"/>
    <x v="0"/>
  </r>
  <r>
    <n v="387"/>
    <s v="5440e3d7f8abc82cbd97b19c"/>
    <n v="2"/>
    <x v="80"/>
    <n v="1000"/>
    <n v="3.9079999999999999"/>
    <n v="87178"/>
    <n v="11"/>
    <n v="152"/>
    <n v="93"/>
    <n v="93"/>
    <n v="808"/>
    <n v="1"/>
    <n v="50"/>
    <x v="2"/>
    <x v="1"/>
    <x v="0"/>
    <x v="0"/>
  </r>
  <r>
    <n v="388"/>
    <s v="546d44001280fa3ce1bf80fa"/>
    <n v="2"/>
    <x v="80"/>
    <n v="1000"/>
    <n v="3.91"/>
    <n v="20478"/>
    <n v="12"/>
    <n v="17"/>
    <n v="30"/>
    <n v="30"/>
    <n v="103"/>
    <n v="1"/>
    <n v="50"/>
    <x v="2"/>
    <x v="1"/>
    <x v="3"/>
    <x v="0"/>
  </r>
  <r>
    <n v="389"/>
    <s v="566a25e33a698c1f131fd872"/>
    <n v="2"/>
    <x v="80"/>
    <n v="1000"/>
    <n v="3.9489999999999998"/>
    <n v="36913"/>
    <n v="7.5"/>
    <n v="11"/>
    <n v="30"/>
    <n v="29.5"/>
    <n v="59"/>
    <n v="1"/>
    <n v="50"/>
    <x v="2"/>
    <x v="1"/>
    <x v="3"/>
    <x v="0"/>
  </r>
  <r>
    <n v="390"/>
    <s v="5a5c78ee9d0a7b724c6535fa"/>
    <n v="2"/>
    <x v="80"/>
    <n v="1000"/>
    <n v="3.9649999999999999"/>
    <n v="3373"/>
    <n v="9"/>
    <n v="65"/>
    <n v="87"/>
    <n v="87"/>
    <n v="162"/>
    <n v="1"/>
    <n v="50"/>
    <x v="2"/>
    <x v="1"/>
    <x v="0"/>
    <x v="0"/>
  </r>
  <r>
    <n v="391"/>
    <s v="5b8e776e2eb51f7a5900a88a"/>
    <n v="2"/>
    <x v="80"/>
    <n v="1000"/>
    <n v="3.9649999999999999"/>
    <n v="1322"/>
    <n v="8"/>
    <n v="7"/>
    <n v="-14"/>
    <n v="-14"/>
    <n v="373"/>
    <n v="1"/>
    <n v="50"/>
    <x v="2"/>
    <x v="1"/>
    <x v="1"/>
    <x v="0"/>
  </r>
  <r>
    <n v="392"/>
    <s v="5d47dd864f7ba75f53d67c7c"/>
    <n v="2"/>
    <x v="80"/>
    <n v="1000"/>
    <n v="4.0119999999999996"/>
    <n v="1290"/>
    <n v="7"/>
    <n v="50"/>
    <n v="86"/>
    <n v="86"/>
    <n v="49"/>
    <n v="1"/>
    <n v="50"/>
    <x v="2"/>
    <x v="0"/>
    <x v="0"/>
    <x v="0"/>
  </r>
  <r>
    <n v="393"/>
    <s v="58fde9517c09181253b0ef86"/>
    <n v="2"/>
    <x v="80"/>
    <n v="1000"/>
    <n v="4.0129999999999999"/>
    <n v="9341"/>
    <n v="7"/>
    <n v="6"/>
    <n v="-16"/>
    <n v="-16"/>
    <n v="245"/>
    <n v="1"/>
    <n v="50"/>
    <x v="2"/>
    <x v="0"/>
    <x v="1"/>
    <x v="0"/>
  </r>
  <r>
    <n v="394"/>
    <s v="58c921126c30436b692b1ead"/>
    <n v="2"/>
    <x v="80"/>
    <n v="1000"/>
    <n v="4.0389999999999997"/>
    <n v="16523"/>
    <n v="11"/>
    <n v="33.5"/>
    <n v="33"/>
    <n v="33"/>
    <n v="576"/>
    <n v="1"/>
    <n v="50"/>
    <x v="2"/>
    <x v="0"/>
    <x v="3"/>
    <x v="0"/>
  </r>
  <r>
    <n v="395"/>
    <s v="58c910072be00b51c601ccee"/>
    <n v="2"/>
    <x v="80"/>
    <n v="1000"/>
    <n v="4.0570000000000004"/>
    <n v="6715"/>
    <n v="10"/>
    <n v="33.5"/>
    <n v="35"/>
    <n v="35"/>
    <n v="130"/>
    <n v="1"/>
    <n v="50"/>
    <x v="2"/>
    <x v="0"/>
    <x v="3"/>
    <x v="0"/>
  </r>
  <r>
    <n v="396"/>
    <s v="5adef3559d5e9767b3177472"/>
    <n v="2"/>
    <x v="80"/>
    <n v="1000"/>
    <n v="4.0599999999999996"/>
    <n v="7034"/>
    <n v="9.33"/>
    <n v="8.5"/>
    <n v="-6"/>
    <n v="-6"/>
    <n v="295"/>
    <m/>
    <m/>
    <x v="2"/>
    <x v="0"/>
    <x v="1"/>
    <x v="1"/>
  </r>
  <r>
    <n v="397"/>
    <s v="59c7610621064f2f6c8c9fe7"/>
    <n v="2"/>
    <x v="80"/>
    <n v="1000"/>
    <n v="4.0970000000000004"/>
    <n v="2076"/>
    <n v="8"/>
    <n v="7"/>
    <n v="-14"/>
    <n v="-14"/>
    <n v="220"/>
    <m/>
    <m/>
    <x v="2"/>
    <x v="0"/>
    <x v="1"/>
    <x v="1"/>
  </r>
  <r>
    <n v="398"/>
    <s v="5d410bd1fe55c814ade29a1c"/>
    <n v="2"/>
    <x v="80"/>
    <n v="1000"/>
    <n v="4.109"/>
    <n v="612"/>
    <n v="8"/>
    <n v="7"/>
    <n v="-14"/>
    <n v="-14"/>
    <n v="118"/>
    <n v="1"/>
    <n v="50"/>
    <x v="2"/>
    <x v="0"/>
    <x v="1"/>
    <x v="0"/>
  </r>
  <r>
    <n v="399"/>
    <s v="580f06685250a20783d33e56"/>
    <n v="2"/>
    <x v="80"/>
    <n v="1000"/>
    <n v="4.1509999999999998"/>
    <n v="11900"/>
    <n v="14"/>
    <n v="75.5"/>
    <n v="82"/>
    <n v="82"/>
    <n v="159"/>
    <m/>
    <m/>
    <x v="2"/>
    <x v="0"/>
    <x v="0"/>
    <x v="1"/>
  </r>
  <r>
    <n v="400"/>
    <s v="548142ac653d51041ac1174f"/>
    <n v="2"/>
    <x v="80"/>
    <n v="1000"/>
    <n v="4.173"/>
    <n v="10377"/>
    <n v="5.84"/>
    <n v="11"/>
    <n v="47"/>
    <n v="47"/>
    <n v="307"/>
    <n v="1"/>
    <n v="50"/>
    <x v="2"/>
    <x v="0"/>
    <x v="3"/>
    <x v="0"/>
  </r>
  <r>
    <n v="401"/>
    <s v="5ae56280ddf45b183333ac45"/>
    <n v="2"/>
    <x v="80"/>
    <n v="1000"/>
    <n v="4.1820000000000004"/>
    <n v="3161"/>
    <n v="5.87"/>
    <n v="36"/>
    <n v="73"/>
    <n v="72.5"/>
    <n v="163"/>
    <m/>
    <m/>
    <x v="2"/>
    <x v="0"/>
    <x v="0"/>
    <x v="1"/>
  </r>
  <r>
    <n v="402"/>
    <s v="5938c5a58e5b2e6601f01c6f"/>
    <n v="2"/>
    <x v="80"/>
    <n v="1000"/>
    <n v="4.1840000000000002"/>
    <n v="6775"/>
    <n v="15"/>
    <n v="68"/>
    <n v="78"/>
    <n v="78"/>
    <n v="546"/>
    <n v="1"/>
    <n v="50"/>
    <x v="2"/>
    <x v="0"/>
    <x v="0"/>
    <x v="0"/>
  </r>
  <r>
    <n v="403"/>
    <s v="5abf36d540626a753e8fc18a"/>
    <n v="2"/>
    <x v="80"/>
    <n v="1000"/>
    <n v="4.2880000000000003"/>
    <n v="3883"/>
    <n v="5"/>
    <n v="5"/>
    <n v="0"/>
    <n v="0"/>
    <n v="435"/>
    <n v="1"/>
    <n v="50"/>
    <x v="2"/>
    <x v="0"/>
    <x v="1"/>
    <x v="0"/>
  </r>
  <r>
    <n v="404"/>
    <s v="590f2995f3d19c2cba264414"/>
    <n v="2"/>
    <x v="80"/>
    <n v="1000"/>
    <n v="4.3250000000000002"/>
    <n v="2792"/>
    <n v="5"/>
    <n v="5"/>
    <n v="0"/>
    <n v="0"/>
    <n v="31"/>
    <n v="1"/>
    <n v="50"/>
    <x v="2"/>
    <x v="0"/>
    <x v="1"/>
    <x v="0"/>
  </r>
  <r>
    <n v="405"/>
    <s v="5901f6c2a8e3eb2aca4b5559"/>
    <n v="2"/>
    <x v="80"/>
    <n v="1000"/>
    <n v="4.3310000000000004"/>
    <n v="4508"/>
    <n v="12"/>
    <n v="22"/>
    <n v="46"/>
    <n v="45.5"/>
    <n v="258"/>
    <n v="2"/>
    <n v="100"/>
    <x v="2"/>
    <x v="0"/>
    <x v="3"/>
    <x v="0"/>
  </r>
  <r>
    <n v="406"/>
    <s v="59aebfa350df6107c1eff8c8"/>
    <n v="2"/>
    <x v="80"/>
    <n v="1000"/>
    <n v="4.3819999999999997"/>
    <n v="13625"/>
    <n v="7"/>
    <n v="30"/>
    <n v="77"/>
    <n v="77"/>
    <n v="179"/>
    <n v="1"/>
    <n v="50"/>
    <x v="2"/>
    <x v="0"/>
    <x v="0"/>
    <x v="0"/>
  </r>
  <r>
    <n v="407"/>
    <s v="5b4028d56385741bff3b9163"/>
    <n v="2"/>
    <x v="80"/>
    <n v="1000"/>
    <n v="4.391"/>
    <n v="6187"/>
    <n v="5.87"/>
    <n v="11"/>
    <n v="47"/>
    <n v="47"/>
    <n v="209"/>
    <n v="1"/>
    <n v="50"/>
    <x v="2"/>
    <x v="0"/>
    <x v="3"/>
    <x v="0"/>
  </r>
  <r>
    <n v="408"/>
    <s v="5de0981739adf2a3406bed18"/>
    <n v="4"/>
    <x v="81"/>
    <n v="325"/>
    <n v="3.7290000000000001"/>
    <n v="288"/>
    <n v="10.25"/>
    <n v="9"/>
    <n v="-13"/>
    <n v="-13"/>
    <n v="101"/>
    <n v="2"/>
    <n v="50"/>
    <x v="2"/>
    <x v="1"/>
    <x v="1"/>
    <x v="0"/>
  </r>
  <r>
    <n v="409"/>
    <s v="54db03867851097093c0efe7"/>
    <n v="4"/>
    <x v="81"/>
    <n v="325"/>
    <n v="3.8519999999999999"/>
    <n v="8989"/>
    <n v="8.5"/>
    <n v="7.5"/>
    <n v="-13"/>
    <n v="-13.5"/>
    <n v="92"/>
    <n v="1"/>
    <n v="25"/>
    <x v="2"/>
    <x v="1"/>
    <x v="1"/>
    <x v="0"/>
  </r>
  <r>
    <n v="410"/>
    <s v="5aab3c8ea6bf7a704caec65c"/>
    <n v="4"/>
    <x v="81"/>
    <n v="325"/>
    <n v="3.9529999999999998"/>
    <n v="17471"/>
    <n v="7.37"/>
    <n v="6.5"/>
    <n v="-14"/>
    <n v="-14.25"/>
    <n v="178"/>
    <n v="1"/>
    <n v="25"/>
    <x v="2"/>
    <x v="1"/>
    <x v="1"/>
    <x v="0"/>
  </r>
  <r>
    <n v="411"/>
    <s v="593fcbd5ff3e807d6a8485ff"/>
    <n v="4"/>
    <x v="81"/>
    <n v="325"/>
    <n v="4.024"/>
    <n v="12919"/>
    <n v="7"/>
    <n v="6.25"/>
    <n v="-7"/>
    <n v="-7"/>
    <n v="22"/>
    <n v="1"/>
    <n v="25"/>
    <x v="2"/>
    <x v="0"/>
    <x v="1"/>
    <x v="0"/>
  </r>
  <r>
    <n v="412"/>
    <s v="55dc300452a04b658ad68139"/>
    <n v="3"/>
    <x v="82"/>
    <n v="400"/>
    <n v="3.895"/>
    <n v="26473"/>
    <n v="8.5399999999999991"/>
    <n v="24"/>
    <n v="49"/>
    <n v="48.67"/>
    <n v="172"/>
    <n v="1"/>
    <n v="33"/>
    <x v="2"/>
    <x v="1"/>
    <x v="3"/>
    <x v="0"/>
  </r>
  <r>
    <n v="413"/>
    <s v="58db84154f0c6b53626b73ac"/>
    <n v="3"/>
    <x v="82"/>
    <n v="400"/>
    <n v="3.9169999999999998"/>
    <n v="33855"/>
    <n v="9.26"/>
    <n v="34"/>
    <n v="53"/>
    <n v="52.67"/>
    <n v="171"/>
    <m/>
    <m/>
    <x v="2"/>
    <x v="1"/>
    <x v="0"/>
    <x v="1"/>
  </r>
  <r>
    <n v="414"/>
    <s v="5836e38728f25753fe6af6a8"/>
    <n v="3"/>
    <x v="82"/>
    <n v="400"/>
    <n v="4.0330000000000004"/>
    <n v="45151"/>
    <n v="12.67"/>
    <n v="11"/>
    <n v="-15"/>
    <n v="-15"/>
    <n v="207"/>
    <n v="1"/>
    <n v="33"/>
    <x v="2"/>
    <x v="0"/>
    <x v="1"/>
    <x v="0"/>
  </r>
  <r>
    <n v="415"/>
    <s v="58a6f92596f1bb57c40b0d56"/>
    <n v="3"/>
    <x v="82"/>
    <n v="400"/>
    <n v="4.048"/>
    <n v="7627"/>
    <n v="11.22"/>
    <n v="11"/>
    <n v="2"/>
    <n v="2"/>
    <n v="182"/>
    <n v="1"/>
    <n v="33"/>
    <x v="2"/>
    <x v="0"/>
    <x v="2"/>
    <x v="0"/>
  </r>
  <r>
    <n v="416"/>
    <s v="5700e7eac1bed1088d6cd40a"/>
    <n v="3"/>
    <x v="82"/>
    <n v="400"/>
    <n v="4.1059999999999999"/>
    <n v="7363"/>
    <n v="8"/>
    <n v="9.33"/>
    <n v="16"/>
    <n v="15.67"/>
    <n v="103"/>
    <m/>
    <m/>
    <x v="2"/>
    <x v="0"/>
    <x v="2"/>
    <x v="1"/>
  </r>
  <r>
    <n v="417"/>
    <s v="5b0b907d59206904541886cf"/>
    <n v="3"/>
    <x v="82"/>
    <n v="400"/>
    <n v="4.218"/>
    <n v="514"/>
    <n v="16"/>
    <n v="14"/>
    <n v="-14"/>
    <n v="-14"/>
    <n v="97"/>
    <n v="1"/>
    <n v="33"/>
    <x v="2"/>
    <x v="0"/>
    <x v="1"/>
    <x v="0"/>
  </r>
  <r>
    <n v="418"/>
    <s v="5864767762a1e84ca30df7c9"/>
    <n v="3"/>
    <x v="82"/>
    <n v="400"/>
    <n v="4.2350000000000003"/>
    <n v="26833"/>
    <n v="13"/>
    <n v="93.33"/>
    <n v="87"/>
    <n v="87"/>
    <n v="210"/>
    <m/>
    <m/>
    <x v="2"/>
    <x v="0"/>
    <x v="0"/>
    <x v="1"/>
  </r>
  <r>
    <n v="419"/>
    <s v="58b7d6dd3c18975a18817d64"/>
    <n v="3"/>
    <x v="82"/>
    <n v="400"/>
    <n v="4.2770000000000001"/>
    <n v="794"/>
    <n v="9.67"/>
    <n v="8.67"/>
    <n v="-12"/>
    <n v="-12"/>
    <n v="60"/>
    <n v="1"/>
    <n v="33"/>
    <x v="2"/>
    <x v="0"/>
    <x v="1"/>
    <x v="0"/>
  </r>
  <r>
    <n v="420"/>
    <s v="594ba69f2eac11550ec111a1"/>
    <n v="3"/>
    <x v="83"/>
    <n v="383"/>
    <n v="4.0389999999999997"/>
    <n v="7676"/>
    <n v="9.2799999999999994"/>
    <n v="13.33"/>
    <n v="35"/>
    <n v="35"/>
    <n v="90"/>
    <m/>
    <m/>
    <x v="2"/>
    <x v="0"/>
    <x v="3"/>
    <x v="1"/>
  </r>
  <r>
    <n v="421"/>
    <s v="575cfe470551415caa5505b5"/>
    <n v="3"/>
    <x v="83"/>
    <n v="383"/>
    <n v="4.1100000000000003"/>
    <n v="9395"/>
    <n v="6.67"/>
    <n v="26.33"/>
    <n v="76"/>
    <n v="75.67"/>
    <n v="206"/>
    <n v="1"/>
    <n v="33"/>
    <x v="2"/>
    <x v="0"/>
    <x v="0"/>
    <x v="0"/>
  </r>
  <r>
    <n v="422"/>
    <s v="5aca1225e053885132dc837a"/>
    <n v="2"/>
    <x v="84"/>
    <n v="550"/>
    <n v="3.7360000000000002"/>
    <n v="1452"/>
    <n v="11.5"/>
    <n v="10.5"/>
    <n v="-9"/>
    <n v="-9.5"/>
    <n v="103"/>
    <m/>
    <m/>
    <x v="2"/>
    <x v="1"/>
    <x v="1"/>
    <x v="1"/>
  </r>
  <r>
    <n v="423"/>
    <s v="5d462e58f320403871a78593"/>
    <n v="2"/>
    <x v="84"/>
    <n v="550"/>
    <n v="3.8380000000000001"/>
    <n v="2055"/>
    <n v="7.5"/>
    <n v="6.5"/>
    <n v="-15"/>
    <n v="-15"/>
    <n v="93"/>
    <n v="1"/>
    <n v="50"/>
    <x v="2"/>
    <x v="1"/>
    <x v="1"/>
    <x v="0"/>
  </r>
  <r>
    <n v="424"/>
    <s v="58aec90823ef726994a323fe"/>
    <n v="2"/>
    <x v="84"/>
    <n v="550"/>
    <n v="3.867"/>
    <n v="12134"/>
    <n v="6.46"/>
    <n v="5.5"/>
    <n v="-17"/>
    <n v="-17"/>
    <n v="243"/>
    <n v="1"/>
    <n v="50"/>
    <x v="2"/>
    <x v="1"/>
    <x v="1"/>
    <x v="0"/>
  </r>
  <r>
    <n v="425"/>
    <s v="57b58a411f608c02bd6976a4"/>
    <n v="2"/>
    <x v="84"/>
    <n v="550"/>
    <n v="3.871"/>
    <n v="5175"/>
    <n v="9.5"/>
    <n v="8.5"/>
    <n v="-12"/>
    <n v="-12"/>
    <n v="158"/>
    <m/>
    <m/>
    <x v="2"/>
    <x v="1"/>
    <x v="1"/>
    <x v="1"/>
  </r>
  <r>
    <n v="426"/>
    <s v="5e548120207f9d0685eec2ea"/>
    <n v="2"/>
    <x v="84"/>
    <n v="550"/>
    <n v="3.992"/>
    <n v="484"/>
    <n v="1.77"/>
    <n v="5.5"/>
    <n v="46"/>
    <n v="45.5"/>
    <n v="62"/>
    <n v="1"/>
    <n v="50"/>
    <x v="2"/>
    <x v="1"/>
    <x v="3"/>
    <x v="0"/>
  </r>
  <r>
    <n v="427"/>
    <s v="5d5f4780bd01a83fca39e0db"/>
    <n v="2"/>
    <x v="84"/>
    <n v="550"/>
    <n v="4.0069999999999997"/>
    <n v="1373"/>
    <n v="1.8"/>
    <n v="25.5"/>
    <n v="94"/>
    <n v="93.5"/>
    <n v="22"/>
    <n v="1"/>
    <n v="50"/>
    <x v="2"/>
    <x v="0"/>
    <x v="0"/>
    <x v="0"/>
  </r>
  <r>
    <n v="428"/>
    <s v="5684eae9daaaee26a0fdadba"/>
    <n v="2"/>
    <x v="84"/>
    <n v="550"/>
    <n v="4.0250000000000004"/>
    <n v="47981"/>
    <n v="8"/>
    <n v="29.5"/>
    <n v="67"/>
    <n v="67"/>
    <n v="229"/>
    <m/>
    <m/>
    <x v="2"/>
    <x v="0"/>
    <x v="0"/>
    <x v="1"/>
  </r>
  <r>
    <n v="429"/>
    <s v="5d40ffe372b0c94d00f6c1f0"/>
    <n v="2"/>
    <x v="84"/>
    <n v="550"/>
    <n v="4.0389999999999997"/>
    <n v="1559"/>
    <n v="5.35"/>
    <n v="5"/>
    <n v="-4"/>
    <n v="-4"/>
    <n v="109"/>
    <n v="1"/>
    <n v="50"/>
    <x v="2"/>
    <x v="0"/>
    <x v="1"/>
    <x v="0"/>
  </r>
  <r>
    <n v="430"/>
    <s v="5a9e3a01ccf0c80c2d372870"/>
    <n v="2"/>
    <x v="84"/>
    <n v="550"/>
    <n v="4.0540000000000003"/>
    <n v="9857"/>
    <n v="5.33"/>
    <n v="5"/>
    <n v="-6"/>
    <n v="-6.5"/>
    <n v="131"/>
    <n v="1"/>
    <n v="50"/>
    <x v="2"/>
    <x v="0"/>
    <x v="1"/>
    <x v="0"/>
  </r>
  <r>
    <n v="431"/>
    <s v="556425de56aea60ea1d17778"/>
    <n v="2"/>
    <x v="84"/>
    <n v="550"/>
    <n v="4.0940000000000003"/>
    <n v="11401"/>
    <n v="7"/>
    <n v="28.5"/>
    <n v="40"/>
    <n v="40"/>
    <n v="69"/>
    <n v="1"/>
    <n v="50"/>
    <x v="2"/>
    <x v="0"/>
    <x v="3"/>
    <x v="0"/>
  </r>
  <r>
    <n v="432"/>
    <s v="5808e2beff6c57435af7df2d"/>
    <n v="2"/>
    <x v="84"/>
    <n v="550"/>
    <n v="4.1890000000000001"/>
    <n v="2707"/>
    <n v="4.43"/>
    <n v="4.5"/>
    <n v="2"/>
    <n v="1.5"/>
    <n v="101"/>
    <m/>
    <m/>
    <x v="2"/>
    <x v="0"/>
    <x v="2"/>
    <x v="1"/>
  </r>
  <r>
    <n v="433"/>
    <s v="583658e928f25754106ae102"/>
    <n v="2"/>
    <x v="84"/>
    <n v="550"/>
    <n v="4.234"/>
    <n v="15551"/>
    <n v="14"/>
    <n v="95.5"/>
    <n v="86"/>
    <n v="85.5"/>
    <n v="115"/>
    <n v="1"/>
    <n v="50"/>
    <x v="2"/>
    <x v="0"/>
    <x v="0"/>
    <x v="0"/>
  </r>
  <r>
    <n v="434"/>
    <s v="556d68d19fb8ca1a0c4d82ee"/>
    <n v="2"/>
    <x v="84"/>
    <n v="550"/>
    <n v="4.2530000000000001"/>
    <n v="104269"/>
    <n v="11.5"/>
    <n v="87.5"/>
    <n v="88"/>
    <n v="87.5"/>
    <n v="375"/>
    <m/>
    <m/>
    <x v="2"/>
    <x v="0"/>
    <x v="0"/>
    <x v="1"/>
  </r>
  <r>
    <n v="435"/>
    <s v="5b29ff427752c84390ed6ecf"/>
    <n v="2"/>
    <x v="85"/>
    <n v="525"/>
    <n v="4.0030000000000001"/>
    <n v="4773"/>
    <n v="8.5"/>
    <n v="59"/>
    <n v="85"/>
    <n v="85"/>
    <n v="25"/>
    <n v="1"/>
    <n v="50"/>
    <x v="2"/>
    <x v="0"/>
    <x v="0"/>
    <x v="0"/>
  </r>
  <r>
    <n v="436"/>
    <s v="584426309b0f754de95d6b50"/>
    <n v="1"/>
    <x v="86"/>
    <n v="1000"/>
    <n v="3.5830000000000002"/>
    <n v="3809"/>
    <n v="5"/>
    <n v="22"/>
    <n v="78"/>
    <n v="78"/>
    <n v="395"/>
    <m/>
    <m/>
    <x v="2"/>
    <x v="1"/>
    <x v="0"/>
    <x v="1"/>
  </r>
  <r>
    <n v="437"/>
    <s v="51aff6a38e221e2cafcdc0cb"/>
    <n v="1"/>
    <x v="86"/>
    <n v="1000"/>
    <n v="3.59"/>
    <n v="82219"/>
    <n v="9"/>
    <n v="9"/>
    <n v="0"/>
    <n v="0"/>
    <n v="300"/>
    <m/>
    <m/>
    <x v="2"/>
    <x v="1"/>
    <x v="1"/>
    <x v="1"/>
  </r>
  <r>
    <n v="438"/>
    <s v="5d3d857c0ff7f937558c4dd1"/>
    <n v="1"/>
    <x v="86"/>
    <n v="1000"/>
    <n v="3.6259999999999999"/>
    <n v="265"/>
    <n v="3.87"/>
    <n v="4"/>
    <n v="4"/>
    <n v="4"/>
    <n v="62"/>
    <n v="1"/>
    <n v="100"/>
    <x v="2"/>
    <x v="1"/>
    <x v="2"/>
    <x v="0"/>
  </r>
  <r>
    <n v="439"/>
    <s v="5d45349676befe65691dcfbb"/>
    <n v="1"/>
    <x v="86"/>
    <n v="1000"/>
    <n v="3.681"/>
    <n v="342"/>
    <n v="12"/>
    <n v="11"/>
    <n v="-9"/>
    <n v="-9"/>
    <n v="286"/>
    <m/>
    <m/>
    <x v="2"/>
    <x v="1"/>
    <x v="1"/>
    <x v="1"/>
  </r>
  <r>
    <n v="440"/>
    <s v="5d57d3a9cf65030dc331b0b2"/>
    <n v="1"/>
    <x v="86"/>
    <n v="1000"/>
    <n v="3.6829999999999998"/>
    <n v="104"/>
    <n v="11"/>
    <n v="75"/>
    <n v="86"/>
    <n v="86"/>
    <n v="70"/>
    <m/>
    <m/>
    <x v="2"/>
    <x v="1"/>
    <x v="0"/>
    <x v="1"/>
  </r>
  <r>
    <n v="441"/>
    <s v="5d44f6c68388973d77042d83"/>
    <n v="1"/>
    <x v="86"/>
    <n v="1000"/>
    <n v="3.7029999999999998"/>
    <n v="626"/>
    <n v="11"/>
    <n v="83"/>
    <n v="87"/>
    <n v="87"/>
    <n v="118"/>
    <m/>
    <m/>
    <x v="2"/>
    <x v="1"/>
    <x v="0"/>
    <x v="1"/>
  </r>
  <r>
    <n v="442"/>
    <s v="5695ee973fa51e32deafd9c9"/>
    <n v="1"/>
    <x v="86"/>
    <n v="1000"/>
    <n v="3.7410000000000001"/>
    <n v="42514"/>
    <n v="8"/>
    <n v="18"/>
    <n v="56"/>
    <n v="56"/>
    <n v="158"/>
    <m/>
    <m/>
    <x v="2"/>
    <x v="1"/>
    <x v="0"/>
    <x v="1"/>
  </r>
  <r>
    <n v="443"/>
    <s v="5b6ec2f2838d931d2fbf7a28"/>
    <n v="1"/>
    <x v="86"/>
    <n v="1000"/>
    <n v="3.7490000000000001"/>
    <n v="6632"/>
    <n v="9"/>
    <n v="48"/>
    <n v="82"/>
    <n v="82"/>
    <n v="135"/>
    <m/>
    <m/>
    <x v="2"/>
    <x v="1"/>
    <x v="0"/>
    <x v="1"/>
  </r>
  <r>
    <n v="444"/>
    <s v="553c93bcd57a0156022b1598"/>
    <n v="1"/>
    <x v="86"/>
    <n v="1000"/>
    <n v="3.7610000000000001"/>
    <n v="18762"/>
    <n v="19"/>
    <n v="17"/>
    <n v="-11"/>
    <n v="-11"/>
    <n v="255"/>
    <m/>
    <m/>
    <x v="2"/>
    <x v="1"/>
    <x v="1"/>
    <x v="1"/>
  </r>
  <r>
    <n v="445"/>
    <s v="5ba0fe4673d934503a6cb6ad"/>
    <n v="1"/>
    <x v="86"/>
    <n v="1000"/>
    <n v="3.766"/>
    <n v="667"/>
    <n v="11"/>
    <n v="11"/>
    <n v="0"/>
    <n v="0"/>
    <n v="223"/>
    <n v="1"/>
    <n v="100"/>
    <x v="2"/>
    <x v="1"/>
    <x v="1"/>
    <x v="0"/>
  </r>
  <r>
    <n v="446"/>
    <s v="5dcb9bb2997e90092d624499"/>
    <n v="1"/>
    <x v="86"/>
    <n v="1000"/>
    <n v="3.766"/>
    <n v="821"/>
    <n v="8"/>
    <n v="7"/>
    <n v="-14"/>
    <n v="-14"/>
    <n v="294"/>
    <m/>
    <m/>
    <x v="2"/>
    <x v="1"/>
    <x v="1"/>
    <x v="1"/>
  </r>
  <r>
    <n v="447"/>
    <s v="5b17df3f012875082bc82048"/>
    <n v="1"/>
    <x v="86"/>
    <n v="1000"/>
    <n v="3.7679999999999998"/>
    <n v="2078"/>
    <n v="11"/>
    <n v="22"/>
    <n v="50"/>
    <n v="50"/>
    <n v="129"/>
    <m/>
    <m/>
    <x v="2"/>
    <x v="1"/>
    <x v="3"/>
    <x v="1"/>
  </r>
  <r>
    <n v="448"/>
    <s v="559f4066577ce11970f7f7fa"/>
    <n v="1"/>
    <x v="86"/>
    <n v="1000"/>
    <n v="3.79"/>
    <n v="21842"/>
    <n v="4.8600000000000003"/>
    <n v="8"/>
    <n v="40"/>
    <n v="40"/>
    <n v="115"/>
    <m/>
    <m/>
    <x v="2"/>
    <x v="1"/>
    <x v="3"/>
    <x v="1"/>
  </r>
  <r>
    <n v="449"/>
    <s v="5d4e91681d9a8e1fcc2fefba"/>
    <n v="1"/>
    <x v="86"/>
    <n v="1000"/>
    <n v="3.794"/>
    <n v="383"/>
    <n v="6"/>
    <n v="30"/>
    <n v="80"/>
    <n v="80"/>
    <n v="325"/>
    <m/>
    <m/>
    <x v="2"/>
    <x v="1"/>
    <x v="0"/>
    <x v="1"/>
  </r>
  <r>
    <n v="450"/>
    <s v="5d46751876befe56001de246"/>
    <n v="1"/>
    <x v="86"/>
    <n v="1000"/>
    <n v="3.8109999999999999"/>
    <n v="1685"/>
    <n v="7"/>
    <n v="6"/>
    <n v="-16"/>
    <n v="-16"/>
    <n v="46"/>
    <m/>
    <m/>
    <x v="2"/>
    <x v="1"/>
    <x v="1"/>
    <x v="1"/>
  </r>
  <r>
    <n v="451"/>
    <s v="57d67d2bb1adb8102d39f90f"/>
    <n v="1"/>
    <x v="86"/>
    <n v="1000"/>
    <n v="3.8170000000000002"/>
    <n v="8362"/>
    <n v="11"/>
    <n v="11"/>
    <n v="0"/>
    <n v="0"/>
    <n v="131"/>
    <m/>
    <m/>
    <x v="2"/>
    <x v="1"/>
    <x v="1"/>
    <x v="1"/>
  </r>
  <r>
    <n v="452"/>
    <s v="56a6d6f9cc46da0df30dd801"/>
    <n v="1"/>
    <x v="86"/>
    <n v="1000"/>
    <n v="3.82"/>
    <n v="4924"/>
    <n v="12"/>
    <n v="11"/>
    <n v="-9"/>
    <n v="-9"/>
    <n v="181"/>
    <m/>
    <m/>
    <x v="2"/>
    <x v="1"/>
    <x v="1"/>
    <x v="1"/>
  </r>
  <r>
    <n v="453"/>
    <s v="5b8a0074f2858d1c8a032c5a"/>
    <n v="1"/>
    <x v="86"/>
    <n v="1000"/>
    <n v="3.8290000000000002"/>
    <n v="738"/>
    <n v="8"/>
    <n v="7"/>
    <n v="-14"/>
    <n v="-14"/>
    <n v="62"/>
    <m/>
    <m/>
    <x v="2"/>
    <x v="1"/>
    <x v="1"/>
    <x v="1"/>
  </r>
  <r>
    <n v="454"/>
    <s v="57b1288be4830507cc9f586a"/>
    <n v="1"/>
    <x v="86"/>
    <n v="1000"/>
    <n v="3.8420000000000001"/>
    <n v="1733"/>
    <n v="11"/>
    <n v="10"/>
    <n v="-10"/>
    <n v="-10"/>
    <n v="410"/>
    <m/>
    <m/>
    <x v="2"/>
    <x v="1"/>
    <x v="1"/>
    <x v="1"/>
  </r>
  <r>
    <n v="455"/>
    <s v="5a2bc05fddda8c49398c52fe"/>
    <n v="1"/>
    <x v="86"/>
    <n v="1000"/>
    <n v="3.8450000000000002"/>
    <n v="670"/>
    <n v="6"/>
    <n v="6"/>
    <n v="0"/>
    <n v="0"/>
    <n v="134"/>
    <m/>
    <m/>
    <x v="2"/>
    <x v="1"/>
    <x v="1"/>
    <x v="1"/>
  </r>
  <r>
    <n v="456"/>
    <s v="57878a7316b28907b9b50131"/>
    <n v="1"/>
    <x v="86"/>
    <n v="1000"/>
    <n v="3.855"/>
    <n v="15812"/>
    <n v="6"/>
    <n v="22"/>
    <n v="73"/>
    <n v="73"/>
    <n v="47"/>
    <n v="1"/>
    <n v="100"/>
    <x v="2"/>
    <x v="1"/>
    <x v="0"/>
    <x v="0"/>
  </r>
  <r>
    <n v="457"/>
    <s v="5440df5815133758cf40f1e3"/>
    <n v="1"/>
    <x v="86"/>
    <n v="1000"/>
    <n v="3.855"/>
    <n v="15407"/>
    <n v="12"/>
    <n v="85"/>
    <n v="86"/>
    <n v="86"/>
    <n v="137"/>
    <m/>
    <m/>
    <x v="2"/>
    <x v="1"/>
    <x v="0"/>
    <x v="1"/>
  </r>
  <r>
    <n v="458"/>
    <s v="582b156ff6872e749e4d1ad4"/>
    <n v="1"/>
    <x v="86"/>
    <n v="1000"/>
    <n v="3.8570000000000002"/>
    <n v="13814"/>
    <n v="9"/>
    <n v="8"/>
    <n v="-12"/>
    <n v="-12"/>
    <n v="81"/>
    <m/>
    <m/>
    <x v="2"/>
    <x v="1"/>
    <x v="1"/>
    <x v="1"/>
  </r>
  <r>
    <n v="459"/>
    <s v="5684ca0f73c0e02989b91cad"/>
    <n v="1"/>
    <x v="86"/>
    <n v="1000"/>
    <n v="3.8580000000000001"/>
    <n v="8197"/>
    <n v="1"/>
    <n v="11"/>
    <n v="91"/>
    <n v="91"/>
    <n v="5"/>
    <m/>
    <m/>
    <x v="2"/>
    <x v="1"/>
    <x v="0"/>
    <x v="1"/>
  </r>
  <r>
    <n v="460"/>
    <s v="59a54d5eae228e4f11e9c5e0"/>
    <n v="1"/>
    <x v="86"/>
    <n v="1000"/>
    <n v="3.8610000000000002"/>
    <n v="2397"/>
    <n v="12"/>
    <n v="11"/>
    <n v="-9"/>
    <n v="-9"/>
    <n v="928"/>
    <m/>
    <m/>
    <x v="2"/>
    <x v="1"/>
    <x v="1"/>
    <x v="1"/>
  </r>
  <r>
    <n v="461"/>
    <s v="579f12b73087c40f57abcd3d"/>
    <n v="1"/>
    <x v="86"/>
    <n v="1000"/>
    <n v="3.8639999999999999"/>
    <n v="3727"/>
    <n v="12"/>
    <n v="11"/>
    <n v="-9"/>
    <n v="-9"/>
    <n v="398"/>
    <m/>
    <m/>
    <x v="2"/>
    <x v="1"/>
    <x v="1"/>
    <x v="1"/>
  </r>
  <r>
    <n v="462"/>
    <s v="57a09a5649c29a34cf282715"/>
    <n v="1"/>
    <x v="86"/>
    <n v="1000"/>
    <n v="3.8759999999999999"/>
    <n v="8433"/>
    <n v="8"/>
    <n v="42"/>
    <n v="81"/>
    <n v="81"/>
    <n v="409"/>
    <m/>
    <m/>
    <x v="2"/>
    <x v="1"/>
    <x v="0"/>
    <x v="1"/>
  </r>
  <r>
    <n v="463"/>
    <s v="55c89dc93a698c6010edccc4"/>
    <n v="1"/>
    <x v="86"/>
    <n v="1000"/>
    <n v="3.8769999999999998"/>
    <n v="13309"/>
    <n v="6"/>
    <n v="56"/>
    <n v="90"/>
    <n v="90"/>
    <n v="938"/>
    <m/>
    <m/>
    <x v="2"/>
    <x v="1"/>
    <x v="0"/>
    <x v="1"/>
  </r>
  <r>
    <n v="464"/>
    <s v="589e67aa3205e17175ced38e"/>
    <n v="1"/>
    <x v="86"/>
    <n v="1000"/>
    <n v="3.8780000000000001"/>
    <n v="16085"/>
    <n v="11"/>
    <n v="159"/>
    <n v="94"/>
    <n v="94"/>
    <n v="585"/>
    <m/>
    <m/>
    <x v="2"/>
    <x v="1"/>
    <x v="0"/>
    <x v="1"/>
  </r>
  <r>
    <n v="465"/>
    <s v="5d3be81670327a1a4ffce08e"/>
    <n v="1"/>
    <x v="86"/>
    <n v="1000"/>
    <n v="3.883"/>
    <n v="2072"/>
    <n v="3.9"/>
    <n v="5"/>
    <n v="22"/>
    <n v="22"/>
    <n v="57"/>
    <n v="1"/>
    <n v="100"/>
    <x v="2"/>
    <x v="1"/>
    <x v="2"/>
    <x v="0"/>
  </r>
  <r>
    <n v="466"/>
    <s v="56d572b08ec6660796b65705"/>
    <n v="1"/>
    <x v="86"/>
    <n v="1000"/>
    <n v="3.8849999999999998"/>
    <n v="21012"/>
    <n v="8"/>
    <n v="9"/>
    <n v="12"/>
    <n v="12"/>
    <n v="45"/>
    <m/>
    <m/>
    <x v="2"/>
    <x v="1"/>
    <x v="2"/>
    <x v="1"/>
  </r>
  <r>
    <n v="467"/>
    <s v="56efff5017777d430c47b78e"/>
    <n v="1"/>
    <x v="86"/>
    <n v="1000"/>
    <n v="3.8919999999999999"/>
    <n v="870"/>
    <n v="12"/>
    <n v="11"/>
    <n v="-9"/>
    <n v="-9"/>
    <n v="646"/>
    <m/>
    <m/>
    <x v="2"/>
    <x v="1"/>
    <x v="1"/>
    <x v="1"/>
  </r>
  <r>
    <n v="468"/>
    <s v="57a1ac972b6fb2282425b585"/>
    <n v="1"/>
    <x v="86"/>
    <n v="1000"/>
    <n v="3.8929999999999998"/>
    <n v="466"/>
    <n v="8"/>
    <n v="7"/>
    <n v="-14"/>
    <n v="-14"/>
    <n v="152"/>
    <m/>
    <m/>
    <x v="2"/>
    <x v="1"/>
    <x v="1"/>
    <x v="1"/>
  </r>
  <r>
    <n v="469"/>
    <s v="56ebb573e652e91f9ca6a674"/>
    <n v="1"/>
    <x v="86"/>
    <n v="1000"/>
    <n v="3.8940000000000001"/>
    <n v="11354"/>
    <n v="15"/>
    <n v="13"/>
    <n v="-15"/>
    <n v="-15"/>
    <n v="854"/>
    <m/>
    <m/>
    <x v="2"/>
    <x v="1"/>
    <x v="1"/>
    <x v="1"/>
  </r>
  <r>
    <n v="470"/>
    <s v="586e70187e94384d6fc17f14"/>
    <n v="1"/>
    <x v="86"/>
    <n v="1000"/>
    <n v="3.8940000000000001"/>
    <n v="28694"/>
    <n v="9"/>
    <n v="9"/>
    <n v="0"/>
    <n v="0"/>
    <n v="238"/>
    <m/>
    <m/>
    <x v="2"/>
    <x v="1"/>
    <x v="1"/>
    <x v="1"/>
  </r>
  <r>
    <n v="471"/>
    <s v="5a20c64d8cf0ed4d57d60471"/>
    <n v="1"/>
    <x v="86"/>
    <n v="1000"/>
    <n v="3.895"/>
    <n v="3668"/>
    <n v="11"/>
    <n v="10"/>
    <n v="-10"/>
    <n v="-10"/>
    <n v="85"/>
    <m/>
    <m/>
    <x v="2"/>
    <x v="1"/>
    <x v="1"/>
    <x v="1"/>
  </r>
  <r>
    <n v="472"/>
    <s v="59f5481068788b25d0a84068"/>
    <n v="1"/>
    <x v="86"/>
    <n v="1000"/>
    <n v="3.8959999999999999"/>
    <n v="1403"/>
    <n v="11"/>
    <n v="10"/>
    <n v="-10"/>
    <n v="-10"/>
    <n v="113"/>
    <m/>
    <m/>
    <x v="2"/>
    <x v="1"/>
    <x v="1"/>
    <x v="1"/>
  </r>
  <r>
    <n v="473"/>
    <s v="5dde67d7801ecf6d4c385348"/>
    <n v="1"/>
    <x v="86"/>
    <n v="1000"/>
    <n v="3.8959999999999999"/>
    <n v="433"/>
    <n v="11"/>
    <n v="10"/>
    <n v="-10"/>
    <n v="-10"/>
    <n v="299"/>
    <m/>
    <m/>
    <x v="2"/>
    <x v="1"/>
    <x v="1"/>
    <x v="1"/>
  </r>
  <r>
    <n v="474"/>
    <s v="58d4832721ad9176d0d3d00f"/>
    <n v="1"/>
    <x v="86"/>
    <n v="1000"/>
    <n v="3.8969999999999998"/>
    <n v="3743"/>
    <n v="16"/>
    <n v="59"/>
    <n v="73"/>
    <n v="73"/>
    <n v="222"/>
    <m/>
    <m/>
    <x v="2"/>
    <x v="1"/>
    <x v="0"/>
    <x v="1"/>
  </r>
  <r>
    <n v="475"/>
    <s v="565c1b173a698c769e2be15d"/>
    <n v="1"/>
    <x v="86"/>
    <n v="1000"/>
    <n v="3.9"/>
    <n v="4072"/>
    <n v="8"/>
    <n v="25"/>
    <n v="68"/>
    <n v="68"/>
    <n v="220"/>
    <m/>
    <m/>
    <x v="2"/>
    <x v="1"/>
    <x v="0"/>
    <x v="1"/>
  </r>
  <r>
    <n v="476"/>
    <s v="5b21e84a43b3b67a3089b10d"/>
    <n v="1"/>
    <x v="86"/>
    <n v="1000"/>
    <n v="3.9009999999999998"/>
    <n v="892"/>
    <n v="8"/>
    <n v="17"/>
    <n v="53"/>
    <n v="53"/>
    <n v="288"/>
    <m/>
    <m/>
    <x v="2"/>
    <x v="1"/>
    <x v="0"/>
    <x v="1"/>
  </r>
  <r>
    <n v="477"/>
    <s v="564b2fb5c126a0127af8441e"/>
    <n v="1"/>
    <x v="86"/>
    <n v="1000"/>
    <n v="3.9049999999999998"/>
    <n v="10320"/>
    <n v="5"/>
    <n v="5"/>
    <n v="0"/>
    <n v="0"/>
    <n v="102"/>
    <n v="1"/>
    <n v="100"/>
    <x v="2"/>
    <x v="1"/>
    <x v="1"/>
    <x v="0"/>
  </r>
  <r>
    <n v="478"/>
    <s v="58d765d6da2852536d7a3fa9"/>
    <n v="1"/>
    <x v="86"/>
    <n v="1000"/>
    <n v="3.907"/>
    <n v="1722"/>
    <n v="9"/>
    <n v="8"/>
    <n v="-12"/>
    <n v="-12"/>
    <n v="248"/>
    <m/>
    <m/>
    <x v="2"/>
    <x v="1"/>
    <x v="1"/>
    <x v="1"/>
  </r>
  <r>
    <n v="479"/>
    <s v="57d64f7bcafd22102c3a5fc2"/>
    <n v="1"/>
    <x v="86"/>
    <n v="1000"/>
    <n v="3.91"/>
    <n v="3119"/>
    <n v="2"/>
    <n v="56"/>
    <n v="97"/>
    <n v="97"/>
    <n v="41"/>
    <m/>
    <m/>
    <x v="2"/>
    <x v="1"/>
    <x v="0"/>
    <x v="1"/>
  </r>
  <r>
    <n v="480"/>
    <s v="575a9d8d6813ab5ceeb09521"/>
    <n v="1"/>
    <x v="86"/>
    <n v="1000"/>
    <n v="3.9119999999999999"/>
    <n v="4136"/>
    <n v="8"/>
    <n v="72"/>
    <n v="89"/>
    <n v="89"/>
    <n v="153"/>
    <m/>
    <m/>
    <x v="2"/>
    <x v="1"/>
    <x v="0"/>
    <x v="1"/>
  </r>
  <r>
    <n v="481"/>
    <s v="5d43cda683889748193da7c0"/>
    <n v="1"/>
    <x v="86"/>
    <n v="1000"/>
    <n v="3.931"/>
    <n v="331"/>
    <n v="7"/>
    <n v="6"/>
    <n v="-16"/>
    <n v="-16"/>
    <n v="68"/>
    <m/>
    <m/>
    <x v="2"/>
    <x v="1"/>
    <x v="1"/>
    <x v="1"/>
  </r>
  <r>
    <n v="482"/>
    <s v="5d5a1171560eca427bf10acb"/>
    <n v="1"/>
    <x v="86"/>
    <n v="1000"/>
    <n v="3.9319999999999999"/>
    <n v="543"/>
    <n v="11"/>
    <n v="10"/>
    <n v="-10"/>
    <n v="-10"/>
    <n v="212"/>
    <m/>
    <m/>
    <x v="2"/>
    <x v="1"/>
    <x v="1"/>
    <x v="1"/>
  </r>
  <r>
    <n v="483"/>
    <s v="5b99f68520019041167b0b74"/>
    <n v="1"/>
    <x v="86"/>
    <n v="1000"/>
    <n v="3.9359999999999999"/>
    <n v="17738"/>
    <n v="6"/>
    <n v="6"/>
    <n v="0"/>
    <n v="0"/>
    <n v="352"/>
    <m/>
    <m/>
    <x v="2"/>
    <x v="1"/>
    <x v="1"/>
    <x v="1"/>
  </r>
  <r>
    <n v="484"/>
    <s v="5489a2fe546ead1ec9215829"/>
    <n v="1"/>
    <x v="86"/>
    <n v="1000"/>
    <n v="3.9390000000000001"/>
    <n v="905"/>
    <n v="8"/>
    <n v="34"/>
    <n v="77"/>
    <n v="77"/>
    <n v="429"/>
    <m/>
    <m/>
    <x v="2"/>
    <x v="1"/>
    <x v="0"/>
    <x v="1"/>
  </r>
  <r>
    <n v="485"/>
    <s v="56cd7070df108f481ff3e00e"/>
    <n v="1"/>
    <x v="86"/>
    <n v="1000"/>
    <n v="3.94"/>
    <n v="16527"/>
    <n v="9"/>
    <n v="9"/>
    <n v="0"/>
    <n v="0"/>
    <n v="129"/>
    <m/>
    <m/>
    <x v="2"/>
    <x v="1"/>
    <x v="1"/>
    <x v="1"/>
  </r>
  <r>
    <n v="486"/>
    <s v="5de7a6aa4c9c821f67c14ac3"/>
    <n v="1"/>
    <x v="86"/>
    <n v="1000"/>
    <n v="3.9420000000000002"/>
    <n v="171"/>
    <n v="13"/>
    <n v="19"/>
    <n v="32"/>
    <n v="32"/>
    <n v="151"/>
    <n v="1"/>
    <n v="100"/>
    <x v="2"/>
    <x v="1"/>
    <x v="3"/>
    <x v="0"/>
  </r>
  <r>
    <n v="487"/>
    <s v="5d5b651b283abc16408fff54"/>
    <n v="1"/>
    <x v="86"/>
    <n v="1000"/>
    <n v="3.9420000000000002"/>
    <n v="365"/>
    <n v="1.68"/>
    <n v="2"/>
    <n v="16"/>
    <n v="16"/>
    <n v="51"/>
    <n v="1"/>
    <n v="100"/>
    <x v="2"/>
    <x v="1"/>
    <x v="2"/>
    <x v="0"/>
  </r>
  <r>
    <n v="488"/>
    <s v="58fcdd56cdb8e24565cc017e"/>
    <n v="1"/>
    <x v="86"/>
    <n v="1000"/>
    <n v="3.9489999999999998"/>
    <n v="1335"/>
    <n v="15"/>
    <n v="25"/>
    <n v="40"/>
    <n v="40"/>
    <n v="408"/>
    <m/>
    <m/>
    <x v="2"/>
    <x v="1"/>
    <x v="3"/>
    <x v="1"/>
  </r>
  <r>
    <n v="489"/>
    <s v="55f982b029624842ab599cc3"/>
    <n v="1"/>
    <x v="86"/>
    <n v="1000"/>
    <n v="3.95"/>
    <n v="2685"/>
    <n v="6"/>
    <n v="7"/>
    <n v="15"/>
    <n v="15"/>
    <n v="258"/>
    <n v="1"/>
    <n v="100"/>
    <x v="2"/>
    <x v="1"/>
    <x v="2"/>
    <x v="0"/>
  </r>
  <r>
    <n v="490"/>
    <s v="56961502ca1588618ca6d5fe"/>
    <n v="1"/>
    <x v="86"/>
    <n v="1000"/>
    <n v="3.9510000000000001"/>
    <n v="14780"/>
    <n v="8"/>
    <n v="252"/>
    <n v="97"/>
    <n v="97"/>
    <n v="161"/>
    <m/>
    <m/>
    <x v="2"/>
    <x v="1"/>
    <x v="0"/>
    <x v="1"/>
  </r>
  <r>
    <n v="491"/>
    <s v="5e8544bfd69a0ea72d39bc31"/>
    <n v="1"/>
    <x v="86"/>
    <n v="1000"/>
    <n v="3.9590000000000001"/>
    <n v="193"/>
    <n v="2.69"/>
    <n v="3"/>
    <n v="11"/>
    <n v="11"/>
    <n v="74"/>
    <m/>
    <m/>
    <x v="2"/>
    <x v="1"/>
    <x v="2"/>
    <x v="1"/>
  </r>
  <r>
    <n v="492"/>
    <s v="583998c51591454a04a79709"/>
    <n v="1"/>
    <x v="86"/>
    <n v="1000"/>
    <n v="3.96"/>
    <n v="40457"/>
    <n v="14"/>
    <n v="12"/>
    <n v="-16"/>
    <n v="-16"/>
    <n v="548"/>
    <n v="1"/>
    <n v="100"/>
    <x v="2"/>
    <x v="1"/>
    <x v="1"/>
    <x v="0"/>
  </r>
  <r>
    <n v="493"/>
    <s v="5b125148c2586910aba903d6"/>
    <n v="1"/>
    <x v="86"/>
    <n v="1000"/>
    <n v="3.9649999999999999"/>
    <n v="16757"/>
    <n v="7"/>
    <n v="6"/>
    <n v="-16"/>
    <n v="-16"/>
    <n v="601"/>
    <m/>
    <m/>
    <x v="2"/>
    <x v="1"/>
    <x v="1"/>
    <x v="1"/>
  </r>
  <r>
    <n v="494"/>
    <s v="5a031e9c9aee09542077d074"/>
    <n v="1"/>
    <x v="86"/>
    <n v="1000"/>
    <n v="3.9670000000000001"/>
    <n v="12763"/>
    <n v="7"/>
    <n v="50"/>
    <n v="86"/>
    <n v="86"/>
    <n v="408"/>
    <n v="1"/>
    <n v="100"/>
    <x v="2"/>
    <x v="1"/>
    <x v="0"/>
    <x v="0"/>
  </r>
  <r>
    <n v="495"/>
    <s v="5857e83a1e95514d46b046dd"/>
    <n v="1"/>
    <x v="86"/>
    <n v="1000"/>
    <n v="3.97"/>
    <n v="6457"/>
    <n v="6"/>
    <n v="23"/>
    <n v="74"/>
    <n v="74"/>
    <n v="251"/>
    <m/>
    <m/>
    <x v="2"/>
    <x v="1"/>
    <x v="0"/>
    <x v="1"/>
  </r>
  <r>
    <n v="496"/>
    <s v="59b0dcac50df61071d239b12"/>
    <n v="1"/>
    <x v="86"/>
    <n v="1000"/>
    <n v="3.9729999999999999"/>
    <n v="1653"/>
    <n v="8"/>
    <n v="7"/>
    <n v="-14"/>
    <n v="-14"/>
    <n v="161"/>
    <m/>
    <m/>
    <x v="2"/>
    <x v="1"/>
    <x v="1"/>
    <x v="1"/>
  </r>
  <r>
    <n v="497"/>
    <s v="5b8d343e133368366f2dff48"/>
    <n v="1"/>
    <x v="86"/>
    <n v="1000"/>
    <n v="3.9790000000000001"/>
    <n v="3670"/>
    <n v="13"/>
    <n v="11"/>
    <n v="-18"/>
    <n v="-18"/>
    <n v="487"/>
    <m/>
    <m/>
    <x v="2"/>
    <x v="1"/>
    <x v="1"/>
    <x v="1"/>
  </r>
  <r>
    <n v="498"/>
    <s v="57ee6909567a8d101913df98"/>
    <n v="1"/>
    <x v="86"/>
    <n v="1000"/>
    <n v="3.9790000000000001"/>
    <n v="18831"/>
    <n v="12"/>
    <n v="11"/>
    <n v="-9"/>
    <n v="-9"/>
    <n v="428"/>
    <n v="1"/>
    <n v="100"/>
    <x v="2"/>
    <x v="1"/>
    <x v="1"/>
    <x v="0"/>
  </r>
  <r>
    <n v="499"/>
    <s v="58d3828699637874f89eb45a"/>
    <n v="1"/>
    <x v="86"/>
    <n v="1000"/>
    <n v="3.9820000000000002"/>
    <n v="33303"/>
    <n v="11"/>
    <n v="21"/>
    <n v="48"/>
    <n v="48"/>
    <n v="545"/>
    <n v="1"/>
    <n v="100"/>
    <x v="2"/>
    <x v="1"/>
    <x v="3"/>
    <x v="0"/>
  </r>
  <r>
    <n v="500"/>
    <s v="5819d0d196f2cc7dffad41ec"/>
    <n v="1"/>
    <x v="86"/>
    <n v="1000"/>
    <n v="3.9830000000000001"/>
    <n v="1012"/>
    <n v="3.81"/>
    <n v="4"/>
    <n v="5"/>
    <n v="5"/>
    <n v="101"/>
    <m/>
    <m/>
    <x v="2"/>
    <x v="1"/>
    <x v="2"/>
    <x v="1"/>
  </r>
  <r>
    <n v="501"/>
    <s v="5b6935c0a1fdaa1dba5a4cd4"/>
    <n v="1"/>
    <x v="86"/>
    <n v="1000"/>
    <n v="3.984"/>
    <n v="5807"/>
    <n v="8"/>
    <n v="17"/>
    <n v="53"/>
    <n v="53"/>
    <n v="426"/>
    <m/>
    <m/>
    <x v="2"/>
    <x v="1"/>
    <x v="0"/>
    <x v="1"/>
  </r>
  <r>
    <n v="502"/>
    <s v="5b164e4c7e43f2326c3e3931"/>
    <n v="1"/>
    <x v="86"/>
    <n v="1000"/>
    <n v="3.9849999999999999"/>
    <n v="6731"/>
    <n v="7"/>
    <n v="43"/>
    <n v="84"/>
    <n v="84"/>
    <n v="130"/>
    <n v="1"/>
    <n v="100"/>
    <x v="2"/>
    <x v="1"/>
    <x v="0"/>
    <x v="0"/>
  </r>
  <r>
    <n v="503"/>
    <s v="5b4d6eb88a5b7b24519e69ad"/>
    <n v="1"/>
    <x v="86"/>
    <n v="1000"/>
    <n v="3.9889999999999999"/>
    <n v="5422"/>
    <n v="8"/>
    <n v="49"/>
    <n v="84"/>
    <n v="84"/>
    <n v="154"/>
    <n v="1"/>
    <n v="100"/>
    <x v="2"/>
    <x v="1"/>
    <x v="0"/>
    <x v="0"/>
  </r>
  <r>
    <n v="504"/>
    <s v="545dab9f5f313f1e28cb1a2f"/>
    <n v="1"/>
    <x v="86"/>
    <n v="1000"/>
    <n v="3.9929999999999999"/>
    <n v="9308"/>
    <n v="5.86"/>
    <n v="5"/>
    <n v="-17"/>
    <n v="-17"/>
    <n v="150"/>
    <m/>
    <m/>
    <x v="2"/>
    <x v="1"/>
    <x v="1"/>
    <x v="1"/>
  </r>
  <r>
    <n v="505"/>
    <s v="5700e2be27992f63cdca2dca"/>
    <n v="1"/>
    <x v="86"/>
    <n v="1000"/>
    <n v="3.9950000000000001"/>
    <n v="8484"/>
    <n v="5"/>
    <n v="8"/>
    <n v="38"/>
    <n v="38"/>
    <n v="31"/>
    <n v="1"/>
    <n v="100"/>
    <x v="2"/>
    <x v="1"/>
    <x v="3"/>
    <x v="0"/>
  </r>
  <r>
    <n v="506"/>
    <s v="547465748edcfa6ceab14f70"/>
    <n v="1"/>
    <x v="86"/>
    <n v="1000"/>
    <n v="4.0039999999999996"/>
    <n v="73119"/>
    <n v="11"/>
    <n v="10"/>
    <n v="-10"/>
    <n v="-10"/>
    <n v="221"/>
    <n v="1"/>
    <n v="100"/>
    <x v="2"/>
    <x v="0"/>
    <x v="1"/>
    <x v="0"/>
  </r>
  <r>
    <n v="507"/>
    <s v="59a6cc4b21064f78b1bef62f"/>
    <n v="1"/>
    <x v="86"/>
    <n v="1000"/>
    <n v="4.0060000000000002"/>
    <n v="5226"/>
    <n v="8"/>
    <n v="8"/>
    <n v="0"/>
    <n v="0"/>
    <n v="668"/>
    <n v="1"/>
    <n v="100"/>
    <x v="2"/>
    <x v="0"/>
    <x v="1"/>
    <x v="0"/>
  </r>
  <r>
    <n v="508"/>
    <s v="5466fad41280fa5ca27ba85d"/>
    <n v="1"/>
    <x v="86"/>
    <n v="1000"/>
    <n v="4.0069999999999997"/>
    <n v="10264"/>
    <n v="14"/>
    <n v="12"/>
    <n v="-16"/>
    <n v="-16"/>
    <n v="475"/>
    <m/>
    <m/>
    <x v="2"/>
    <x v="0"/>
    <x v="1"/>
    <x v="1"/>
  </r>
  <r>
    <n v="509"/>
    <s v="56effd3864d54a58a619bdb1"/>
    <n v="1"/>
    <x v="86"/>
    <n v="1000"/>
    <n v="4.008"/>
    <n v="639"/>
    <n v="12"/>
    <n v="31"/>
    <n v="62"/>
    <n v="62"/>
    <n v="344"/>
    <n v="1"/>
    <n v="100"/>
    <x v="2"/>
    <x v="0"/>
    <x v="0"/>
    <x v="0"/>
  </r>
  <r>
    <n v="510"/>
    <s v="5466e6343dabbe66ab062be8"/>
    <n v="1"/>
    <x v="86"/>
    <n v="1000"/>
    <n v="4.0140000000000002"/>
    <n v="4622"/>
    <n v="14"/>
    <n v="51"/>
    <n v="73"/>
    <n v="73"/>
    <n v="445"/>
    <m/>
    <m/>
    <x v="2"/>
    <x v="0"/>
    <x v="0"/>
    <x v="1"/>
  </r>
  <r>
    <n v="511"/>
    <s v="5514d13ce87fd21cf12f9d0b"/>
    <n v="1"/>
    <x v="86"/>
    <n v="1000"/>
    <n v="4.0140000000000002"/>
    <n v="21226"/>
    <n v="8"/>
    <n v="7"/>
    <n v="-14"/>
    <n v="-14"/>
    <n v="605"/>
    <m/>
    <m/>
    <x v="2"/>
    <x v="0"/>
    <x v="1"/>
    <x v="1"/>
  </r>
  <r>
    <n v="512"/>
    <s v="55419b79439bb51755098f63"/>
    <n v="1"/>
    <x v="86"/>
    <n v="1000"/>
    <n v="4.0149999999999997"/>
    <n v="9002"/>
    <n v="11"/>
    <n v="11"/>
    <n v="0"/>
    <n v="0"/>
    <n v="217"/>
    <m/>
    <m/>
    <x v="2"/>
    <x v="0"/>
    <x v="1"/>
    <x v="1"/>
  </r>
  <r>
    <n v="513"/>
    <s v="584ae0173961b64ca9b426b1"/>
    <n v="1"/>
    <x v="86"/>
    <n v="1000"/>
    <n v="4.0170000000000003"/>
    <n v="4233"/>
    <n v="6"/>
    <n v="22"/>
    <n v="73"/>
    <n v="73"/>
    <n v="518"/>
    <n v="1"/>
    <n v="100"/>
    <x v="2"/>
    <x v="0"/>
    <x v="0"/>
    <x v="0"/>
  </r>
  <r>
    <n v="514"/>
    <s v="580f361ff6978b4fdba4b112"/>
    <n v="1"/>
    <x v="86"/>
    <n v="1000"/>
    <n v="4.0190000000000001"/>
    <n v="1281"/>
    <n v="2.8"/>
    <n v="3"/>
    <n v="7"/>
    <n v="7"/>
    <n v="78"/>
    <m/>
    <m/>
    <x v="2"/>
    <x v="0"/>
    <x v="2"/>
    <x v="1"/>
  </r>
  <r>
    <n v="515"/>
    <s v="5b8e19ad9058ed22fdc30621"/>
    <n v="1"/>
    <x v="86"/>
    <n v="1000"/>
    <n v="4.0279999999999996"/>
    <n v="6246"/>
    <n v="5.67"/>
    <n v="6"/>
    <n v="6"/>
    <n v="6"/>
    <n v="245"/>
    <m/>
    <m/>
    <x v="2"/>
    <x v="0"/>
    <x v="2"/>
    <x v="1"/>
  </r>
  <r>
    <n v="516"/>
    <s v="5af54e838699ce1143d1f876"/>
    <n v="1"/>
    <x v="86"/>
    <n v="1000"/>
    <n v="4.0309999999999997"/>
    <n v="2464"/>
    <n v="6"/>
    <n v="140"/>
    <n v="96"/>
    <n v="96"/>
    <n v="538"/>
    <m/>
    <m/>
    <x v="2"/>
    <x v="0"/>
    <x v="0"/>
    <x v="1"/>
  </r>
  <r>
    <n v="517"/>
    <s v="5d42991670327a71301ec76e"/>
    <n v="1"/>
    <x v="86"/>
    <n v="1000"/>
    <n v="4.0359999999999996"/>
    <n v="1055"/>
    <n v="2"/>
    <n v="2"/>
    <n v="0"/>
    <n v="0"/>
    <n v="143"/>
    <m/>
    <m/>
    <x v="2"/>
    <x v="0"/>
    <x v="1"/>
    <x v="1"/>
  </r>
  <r>
    <n v="518"/>
    <s v="53e98c6446188e1d4d3a38bd"/>
    <n v="1"/>
    <x v="86"/>
    <n v="1000"/>
    <n v="4.0410000000000004"/>
    <n v="4230"/>
    <n v="1.8"/>
    <n v="2"/>
    <n v="10"/>
    <n v="10"/>
    <n v="76"/>
    <m/>
    <m/>
    <x v="2"/>
    <x v="0"/>
    <x v="2"/>
    <x v="1"/>
  </r>
  <r>
    <n v="519"/>
    <s v="58501ab6ff3da74c89f8927f"/>
    <n v="1"/>
    <x v="86"/>
    <n v="1000"/>
    <n v="4.0439999999999996"/>
    <n v="11078"/>
    <n v="5"/>
    <n v="5"/>
    <n v="0"/>
    <n v="0"/>
    <n v="279"/>
    <m/>
    <m/>
    <x v="2"/>
    <x v="0"/>
    <x v="1"/>
    <x v="1"/>
  </r>
  <r>
    <n v="520"/>
    <s v="58c2318d3f49634886892d7c"/>
    <n v="1"/>
    <x v="86"/>
    <n v="1000"/>
    <n v="4.0449999999999999"/>
    <n v="10436"/>
    <n v="5"/>
    <n v="5"/>
    <n v="0"/>
    <n v="0"/>
    <n v="94"/>
    <m/>
    <m/>
    <x v="2"/>
    <x v="0"/>
    <x v="1"/>
    <x v="1"/>
  </r>
  <r>
    <n v="521"/>
    <s v="597eda458696be7dab480a44"/>
    <n v="1"/>
    <x v="86"/>
    <n v="1000"/>
    <n v="4.0469999999999997"/>
    <n v="1990"/>
    <n v="12"/>
    <n v="11"/>
    <n v="-9"/>
    <n v="-9"/>
    <n v="899"/>
    <m/>
    <m/>
    <x v="2"/>
    <x v="0"/>
    <x v="1"/>
    <x v="1"/>
  </r>
  <r>
    <n v="522"/>
    <s v="5dc69ae4c4e6e61846dfc2b4"/>
    <n v="1"/>
    <x v="86"/>
    <n v="1000"/>
    <n v="4.0549999999999997"/>
    <n v="550"/>
    <n v="5.65"/>
    <n v="5"/>
    <n v="-13"/>
    <n v="-13"/>
    <n v="108"/>
    <m/>
    <m/>
    <x v="2"/>
    <x v="0"/>
    <x v="1"/>
    <x v="1"/>
  </r>
  <r>
    <n v="523"/>
    <s v="5ad16178db5f1f07107a5401"/>
    <n v="1"/>
    <x v="86"/>
    <n v="1000"/>
    <n v="4.0570000000000004"/>
    <n v="3950"/>
    <n v="8"/>
    <n v="7"/>
    <n v="-14"/>
    <n v="-14"/>
    <n v="124"/>
    <n v="1"/>
    <n v="100"/>
    <x v="2"/>
    <x v="0"/>
    <x v="1"/>
    <x v="0"/>
  </r>
  <r>
    <n v="524"/>
    <s v="557ac6650a43e41ba218240a"/>
    <n v="1"/>
    <x v="86"/>
    <n v="1000"/>
    <n v="4.0579999999999998"/>
    <n v="45372"/>
    <n v="4.68"/>
    <n v="25"/>
    <n v="82"/>
    <n v="82"/>
    <n v="127"/>
    <m/>
    <m/>
    <x v="2"/>
    <x v="0"/>
    <x v="0"/>
    <x v="1"/>
  </r>
  <r>
    <n v="525"/>
    <s v="58748c070e230b22a1ab5bc2"/>
    <n v="1"/>
    <x v="86"/>
    <n v="1000"/>
    <n v="4.0609999999999999"/>
    <n v="1369"/>
    <n v="7"/>
    <n v="6"/>
    <n v="-16"/>
    <n v="-16"/>
    <n v="442"/>
    <n v="1"/>
    <n v="100"/>
    <x v="2"/>
    <x v="0"/>
    <x v="1"/>
    <x v="0"/>
  </r>
  <r>
    <n v="526"/>
    <s v="5ad1f14d40626a47903fe9df"/>
    <n v="1"/>
    <x v="86"/>
    <n v="1000"/>
    <n v="4.0640000000000001"/>
    <n v="2377"/>
    <n v="11"/>
    <n v="10"/>
    <n v="-10"/>
    <n v="-10"/>
    <n v="215"/>
    <m/>
    <m/>
    <x v="2"/>
    <x v="0"/>
    <x v="1"/>
    <x v="1"/>
  </r>
  <r>
    <n v="527"/>
    <s v="583edf165022c71b82d1d6c7"/>
    <n v="1"/>
    <x v="86"/>
    <n v="1000"/>
    <n v="4.0640000000000001"/>
    <n v="4048"/>
    <n v="13"/>
    <n v="13"/>
    <n v="0"/>
    <n v="0"/>
    <n v="332"/>
    <n v="1"/>
    <n v="100"/>
    <x v="2"/>
    <x v="0"/>
    <x v="1"/>
    <x v="0"/>
  </r>
  <r>
    <n v="528"/>
    <s v="59b38b9d0ec30f3dcde27914"/>
    <n v="1"/>
    <x v="86"/>
    <n v="1000"/>
    <n v="4.0650000000000004"/>
    <n v="4434"/>
    <n v="8"/>
    <n v="7"/>
    <n v="-14"/>
    <n v="-14"/>
    <n v="378"/>
    <m/>
    <m/>
    <x v="2"/>
    <x v="0"/>
    <x v="1"/>
    <x v="1"/>
  </r>
  <r>
    <n v="529"/>
    <s v="54d30f53dc8ce133f79b434d"/>
    <n v="1"/>
    <x v="86"/>
    <n v="1000"/>
    <n v="4.0659999999999998"/>
    <n v="44837"/>
    <n v="5.65"/>
    <n v="6"/>
    <n v="6"/>
    <n v="6"/>
    <n v="217"/>
    <m/>
    <m/>
    <x v="2"/>
    <x v="0"/>
    <x v="2"/>
    <x v="1"/>
  </r>
  <r>
    <n v="530"/>
    <s v="58285d7f168b5430c5090ab8"/>
    <n v="1"/>
    <x v="86"/>
    <n v="1000"/>
    <n v="4.0720000000000001"/>
    <n v="1663"/>
    <n v="5.82"/>
    <n v="58"/>
    <n v="90"/>
    <n v="90"/>
    <n v="623"/>
    <m/>
    <m/>
    <x v="2"/>
    <x v="0"/>
    <x v="0"/>
    <x v="1"/>
  </r>
  <r>
    <n v="531"/>
    <s v="5948c9761f2f0f2efb675fa4"/>
    <n v="1"/>
    <x v="86"/>
    <n v="1000"/>
    <n v="4.0720000000000001"/>
    <n v="6623"/>
    <n v="8"/>
    <n v="7"/>
    <n v="-14"/>
    <n v="-14"/>
    <n v="111"/>
    <n v="1"/>
    <n v="100"/>
    <x v="2"/>
    <x v="0"/>
    <x v="1"/>
    <x v="0"/>
  </r>
  <r>
    <n v="532"/>
    <s v="5eb8cf5429e78638f27379f5"/>
    <n v="1"/>
    <x v="86"/>
    <n v="1000"/>
    <n v="4.0750000000000002"/>
    <n v="161"/>
    <n v="5.69"/>
    <n v="10"/>
    <n v="44"/>
    <n v="44"/>
    <n v="76"/>
    <m/>
    <m/>
    <x v="2"/>
    <x v="0"/>
    <x v="3"/>
    <x v="1"/>
  </r>
  <r>
    <n v="533"/>
    <s v="544e3da38edcfa4c456f6181"/>
    <n v="1"/>
    <x v="86"/>
    <n v="1000"/>
    <n v="4.0780000000000003"/>
    <n v="6300"/>
    <n v="11"/>
    <n v="10"/>
    <n v="-10"/>
    <n v="-10"/>
    <n v="100"/>
    <m/>
    <m/>
    <x v="2"/>
    <x v="0"/>
    <x v="1"/>
    <x v="1"/>
  </r>
  <r>
    <n v="534"/>
    <s v="56c30460d7e2821146329f82"/>
    <n v="1"/>
    <x v="86"/>
    <n v="1000"/>
    <n v="4.0789999999999997"/>
    <n v="9651"/>
    <n v="3.71"/>
    <n v="6"/>
    <n v="39"/>
    <n v="39"/>
    <n v="181"/>
    <m/>
    <m/>
    <x v="2"/>
    <x v="0"/>
    <x v="3"/>
    <x v="1"/>
  </r>
  <r>
    <n v="535"/>
    <s v="5858d328e18c0f7603a08e1f"/>
    <n v="1"/>
    <x v="86"/>
    <n v="1000"/>
    <n v="4.08"/>
    <n v="72885"/>
    <n v="3"/>
    <n v="5"/>
    <n v="40"/>
    <n v="40"/>
    <n v="327"/>
    <n v="1"/>
    <n v="100"/>
    <x v="2"/>
    <x v="0"/>
    <x v="3"/>
    <x v="0"/>
  </r>
  <r>
    <n v="536"/>
    <s v="585a45a3ef562825c60e0c71"/>
    <n v="1"/>
    <x v="86"/>
    <n v="1000"/>
    <n v="4.08"/>
    <n v="2867"/>
    <n v="8"/>
    <n v="30"/>
    <n v="74"/>
    <n v="74"/>
    <n v="65"/>
    <n v="1"/>
    <n v="100"/>
    <x v="2"/>
    <x v="0"/>
    <x v="0"/>
    <x v="0"/>
  </r>
  <r>
    <n v="537"/>
    <s v="57108cd6a995b507211ef8fb"/>
    <n v="1"/>
    <x v="86"/>
    <n v="1000"/>
    <n v="4.0860000000000003"/>
    <n v="9136"/>
    <n v="13"/>
    <n v="50"/>
    <n v="74"/>
    <n v="74"/>
    <n v="855"/>
    <m/>
    <m/>
    <x v="2"/>
    <x v="0"/>
    <x v="0"/>
    <x v="1"/>
  </r>
  <r>
    <n v="538"/>
    <s v="5aec1dd2c96bb815b802df67"/>
    <n v="1"/>
    <x v="86"/>
    <n v="1000"/>
    <n v="4.09"/>
    <n v="1761"/>
    <n v="8"/>
    <n v="8"/>
    <n v="0"/>
    <n v="0"/>
    <n v="187"/>
    <n v="1"/>
    <n v="100"/>
    <x v="2"/>
    <x v="0"/>
    <x v="1"/>
    <x v="0"/>
  </r>
  <r>
    <n v="539"/>
    <s v="57f7b4a3bc506d1e56530cdd"/>
    <n v="1"/>
    <x v="86"/>
    <n v="1000"/>
    <n v="4.0919999999999996"/>
    <n v="2505"/>
    <n v="6"/>
    <n v="9"/>
    <n v="34"/>
    <n v="34"/>
    <n v="471"/>
    <m/>
    <m/>
    <x v="2"/>
    <x v="0"/>
    <x v="3"/>
    <x v="1"/>
  </r>
  <r>
    <n v="540"/>
    <s v="55d480c092e9ba1242bd816a"/>
    <n v="1"/>
    <x v="86"/>
    <n v="1000"/>
    <n v="4.0949999999999998"/>
    <n v="15948"/>
    <n v="5"/>
    <n v="5"/>
    <n v="0"/>
    <n v="0"/>
    <n v="252"/>
    <n v="1"/>
    <n v="100"/>
    <x v="2"/>
    <x v="0"/>
    <x v="1"/>
    <x v="0"/>
  </r>
  <r>
    <n v="541"/>
    <s v="55e51e53c9f8235d17759948"/>
    <n v="1"/>
    <x v="86"/>
    <n v="1000"/>
    <n v="4.0979999999999999"/>
    <n v="541"/>
    <n v="22"/>
    <n v="159"/>
    <n v="87"/>
    <n v="87"/>
    <n v="235"/>
    <m/>
    <m/>
    <x v="2"/>
    <x v="0"/>
    <x v="0"/>
    <x v="1"/>
  </r>
  <r>
    <n v="542"/>
    <s v="5b6bb6d7790f1a0d8a416c03"/>
    <n v="1"/>
    <x v="86"/>
    <n v="1000"/>
    <n v="4.101"/>
    <n v="6256"/>
    <n v="13"/>
    <n v="43"/>
    <n v="70"/>
    <n v="70"/>
    <n v="65"/>
    <n v="1"/>
    <n v="100"/>
    <x v="2"/>
    <x v="0"/>
    <x v="0"/>
    <x v="0"/>
  </r>
  <r>
    <n v="543"/>
    <s v="5938e6a17fe241506f93503b"/>
    <n v="1"/>
    <x v="86"/>
    <n v="1000"/>
    <n v="4.1100000000000003"/>
    <n v="3804"/>
    <n v="3.76"/>
    <n v="4"/>
    <n v="6"/>
    <n v="6"/>
    <n v="95"/>
    <m/>
    <m/>
    <x v="2"/>
    <x v="0"/>
    <x v="2"/>
    <x v="1"/>
  </r>
  <r>
    <n v="544"/>
    <s v="596636724b913a6954556581"/>
    <n v="1"/>
    <x v="86"/>
    <n v="1000"/>
    <n v="4.1150000000000002"/>
    <n v="28101"/>
    <n v="8"/>
    <n v="7"/>
    <n v="-14"/>
    <n v="-14"/>
    <n v="650"/>
    <m/>
    <m/>
    <x v="2"/>
    <x v="0"/>
    <x v="1"/>
    <x v="1"/>
  </r>
  <r>
    <n v="545"/>
    <s v="58aea6fe15241651ee65307b"/>
    <n v="1"/>
    <x v="86"/>
    <n v="1000"/>
    <n v="4.12"/>
    <n v="543"/>
    <n v="2"/>
    <n v="6"/>
    <n v="67"/>
    <n v="67"/>
    <n v="121"/>
    <m/>
    <m/>
    <x v="2"/>
    <x v="0"/>
    <x v="0"/>
    <x v="1"/>
  </r>
  <r>
    <n v="546"/>
    <s v="5d3c419de4b65d4fb81e7286"/>
    <n v="1"/>
    <x v="86"/>
    <n v="1000"/>
    <n v="4.1239999999999997"/>
    <n v="557"/>
    <n v="1.91"/>
    <n v="6"/>
    <n v="69"/>
    <n v="69"/>
    <n v="141"/>
    <m/>
    <m/>
    <x v="2"/>
    <x v="0"/>
    <x v="0"/>
    <x v="1"/>
  </r>
  <r>
    <n v="547"/>
    <s v="5cd6743c8da3ad22253d937f"/>
    <n v="1"/>
    <x v="86"/>
    <n v="1000"/>
    <n v="4.1260000000000003"/>
    <n v="2745"/>
    <n v="8"/>
    <n v="7"/>
    <n v="-14"/>
    <n v="-14"/>
    <n v="267"/>
    <n v="1"/>
    <n v="100"/>
    <x v="2"/>
    <x v="0"/>
    <x v="1"/>
    <x v="0"/>
  </r>
  <r>
    <n v="548"/>
    <s v="589eb1c33205e17175cee2ee"/>
    <n v="1"/>
    <x v="86"/>
    <n v="1000"/>
    <n v="4.1269999999999998"/>
    <n v="3117"/>
    <n v="3.87"/>
    <n v="4"/>
    <n v="4"/>
    <n v="4"/>
    <n v="94"/>
    <m/>
    <m/>
    <x v="2"/>
    <x v="0"/>
    <x v="2"/>
    <x v="1"/>
  </r>
  <r>
    <n v="549"/>
    <s v="5864730562a1e84ca10df658"/>
    <n v="1"/>
    <x v="86"/>
    <n v="1000"/>
    <n v="4.1319999999999997"/>
    <n v="6364"/>
    <n v="11"/>
    <n v="10"/>
    <n v="-10"/>
    <n v="-10"/>
    <n v="483"/>
    <m/>
    <m/>
    <x v="2"/>
    <x v="0"/>
    <x v="1"/>
    <x v="1"/>
  </r>
  <r>
    <n v="550"/>
    <s v="5b08f027c2586968afffb44f"/>
    <n v="1"/>
    <x v="86"/>
    <n v="1000"/>
    <n v="4.1360000000000001"/>
    <n v="5880"/>
    <n v="11"/>
    <n v="17"/>
    <n v="36"/>
    <n v="36"/>
    <n v="462"/>
    <n v="1"/>
    <n v="100"/>
    <x v="2"/>
    <x v="0"/>
    <x v="3"/>
    <x v="0"/>
  </r>
  <r>
    <n v="551"/>
    <s v="56cc2ea09879a4136344cf49"/>
    <n v="1"/>
    <x v="86"/>
    <n v="1000"/>
    <n v="4.1369999999999996"/>
    <n v="7348"/>
    <n v="8"/>
    <n v="7"/>
    <n v="-14"/>
    <n v="-14"/>
    <n v="120"/>
    <m/>
    <m/>
    <x v="2"/>
    <x v="0"/>
    <x v="1"/>
    <x v="1"/>
  </r>
  <r>
    <n v="552"/>
    <s v="590eda48f3d19c203c2648e4"/>
    <n v="1"/>
    <x v="86"/>
    <n v="1000"/>
    <n v="4.141"/>
    <n v="6460"/>
    <n v="11"/>
    <n v="84"/>
    <n v="87"/>
    <n v="87"/>
    <n v="792"/>
    <m/>
    <m/>
    <x v="2"/>
    <x v="0"/>
    <x v="0"/>
    <x v="1"/>
  </r>
  <r>
    <n v="553"/>
    <s v="5a3ccf7f028bbd773f938596"/>
    <n v="1"/>
    <x v="86"/>
    <n v="1000"/>
    <n v="4.1420000000000003"/>
    <n v="19760"/>
    <n v="8"/>
    <n v="51"/>
    <n v="85"/>
    <n v="85"/>
    <n v="256"/>
    <m/>
    <m/>
    <x v="2"/>
    <x v="0"/>
    <x v="0"/>
    <x v="1"/>
  </r>
  <r>
    <n v="554"/>
    <s v="5a0d2c3e68788b4400878642"/>
    <n v="1"/>
    <x v="86"/>
    <n v="1000"/>
    <n v="4.1429999999999998"/>
    <n v="14442"/>
    <n v="9"/>
    <n v="57"/>
    <n v="85"/>
    <n v="85"/>
    <n v="146"/>
    <m/>
    <m/>
    <x v="2"/>
    <x v="0"/>
    <x v="0"/>
    <x v="1"/>
  </r>
  <r>
    <n v="555"/>
    <s v="5b420ce3d9b2a4418b74ae31"/>
    <n v="1"/>
    <x v="86"/>
    <n v="1000"/>
    <n v="4.1459999999999999"/>
    <n v="2116"/>
    <n v="18"/>
    <n v="16"/>
    <n v="-12"/>
    <n v="-12"/>
    <n v="477"/>
    <n v="1"/>
    <n v="100"/>
    <x v="2"/>
    <x v="0"/>
    <x v="1"/>
    <x v="0"/>
  </r>
  <r>
    <n v="556"/>
    <s v="5b7ecbfa7956ef54b750df16"/>
    <n v="1"/>
    <x v="86"/>
    <n v="1000"/>
    <n v="4.1470000000000002"/>
    <n v="9341"/>
    <n v="22"/>
    <n v="169"/>
    <n v="87"/>
    <n v="87"/>
    <n v="542"/>
    <n v="1"/>
    <n v="100"/>
    <x v="2"/>
    <x v="0"/>
    <x v="0"/>
    <x v="0"/>
  </r>
  <r>
    <n v="557"/>
    <s v="5e6910549145adc9f7972fac"/>
    <n v="1"/>
    <x v="86"/>
    <n v="1000"/>
    <n v="4.149"/>
    <n v="114"/>
    <n v="13"/>
    <n v="33"/>
    <n v="61"/>
    <n v="61"/>
    <n v="122"/>
    <m/>
    <m/>
    <x v="2"/>
    <x v="0"/>
    <x v="0"/>
    <x v="1"/>
  </r>
  <r>
    <n v="558"/>
    <s v="5a54add17dee4a20b31ef567"/>
    <n v="1"/>
    <x v="86"/>
    <n v="1000"/>
    <n v="4.149"/>
    <n v="6343"/>
    <n v="11"/>
    <n v="76"/>
    <n v="86"/>
    <n v="86"/>
    <n v="364"/>
    <m/>
    <m/>
    <x v="2"/>
    <x v="0"/>
    <x v="0"/>
    <x v="1"/>
  </r>
  <r>
    <n v="559"/>
    <s v="5853765779b45e0b58ad30f4"/>
    <n v="1"/>
    <x v="86"/>
    <n v="1000"/>
    <n v="4.1529999999999996"/>
    <n v="30643"/>
    <n v="7"/>
    <n v="9"/>
    <n v="23"/>
    <n v="23"/>
    <n v="219"/>
    <n v="1"/>
    <n v="100"/>
    <x v="2"/>
    <x v="0"/>
    <x v="2"/>
    <x v="0"/>
  </r>
  <r>
    <n v="560"/>
    <s v="586fbd8b8c30e82bdcce557d"/>
    <n v="1"/>
    <x v="86"/>
    <n v="1000"/>
    <n v="4.1550000000000002"/>
    <n v="5914"/>
    <n v="6"/>
    <n v="6"/>
    <n v="0"/>
    <n v="0"/>
    <n v="362"/>
    <n v="1"/>
    <n v="100"/>
    <x v="2"/>
    <x v="0"/>
    <x v="1"/>
    <x v="0"/>
  </r>
  <r>
    <n v="561"/>
    <s v="5acecb61417cee2b9d27f88a"/>
    <n v="1"/>
    <x v="86"/>
    <n v="1000"/>
    <n v="4.1580000000000004"/>
    <n v="2610"/>
    <n v="5"/>
    <n v="5"/>
    <n v="0"/>
    <n v="0"/>
    <n v="197"/>
    <m/>
    <m/>
    <x v="2"/>
    <x v="0"/>
    <x v="1"/>
    <x v="1"/>
  </r>
  <r>
    <n v="562"/>
    <s v="53df1a1046188e7ac043c6da"/>
    <n v="1"/>
    <x v="86"/>
    <n v="1000"/>
    <n v="4.16"/>
    <n v="5048"/>
    <n v="19"/>
    <n v="26"/>
    <n v="27"/>
    <n v="27"/>
    <n v="205"/>
    <m/>
    <m/>
    <x v="2"/>
    <x v="0"/>
    <x v="3"/>
    <x v="1"/>
  </r>
  <r>
    <n v="563"/>
    <s v="582bd2fde18c0f0a402ba101"/>
    <n v="1"/>
    <x v="86"/>
    <n v="1000"/>
    <n v="4.16"/>
    <n v="29044"/>
    <n v="15"/>
    <n v="101"/>
    <n v="86"/>
    <n v="86"/>
    <n v="646"/>
    <m/>
    <m/>
    <x v="2"/>
    <x v="0"/>
    <x v="0"/>
    <x v="1"/>
  </r>
  <r>
    <n v="564"/>
    <s v="5accadccc98949438a3729a2"/>
    <n v="1"/>
    <x v="86"/>
    <n v="1000"/>
    <n v="4.1609999999999996"/>
    <n v="1837"/>
    <n v="12"/>
    <n v="17"/>
    <n v="30"/>
    <n v="30"/>
    <n v="230"/>
    <m/>
    <m/>
    <x v="2"/>
    <x v="0"/>
    <x v="3"/>
    <x v="1"/>
  </r>
  <r>
    <n v="565"/>
    <s v="58cbc85cad83385080a3cf94"/>
    <n v="1"/>
    <x v="86"/>
    <n v="1000"/>
    <n v="4.165"/>
    <n v="32715"/>
    <n v="11"/>
    <n v="10"/>
    <n v="-10"/>
    <n v="-10"/>
    <n v="101"/>
    <m/>
    <m/>
    <x v="2"/>
    <x v="0"/>
    <x v="1"/>
    <x v="1"/>
  </r>
  <r>
    <n v="566"/>
    <s v="595df09dd44a9b53910f4e2b"/>
    <n v="1"/>
    <x v="86"/>
    <n v="1000"/>
    <n v="4.1660000000000004"/>
    <n v="8043"/>
    <n v="9"/>
    <n v="31"/>
    <n v="71"/>
    <n v="71"/>
    <n v="317"/>
    <m/>
    <m/>
    <x v="2"/>
    <x v="0"/>
    <x v="0"/>
    <x v="1"/>
  </r>
  <r>
    <n v="567"/>
    <s v="58cf7224712870506c44edd9"/>
    <n v="1"/>
    <x v="86"/>
    <n v="1000"/>
    <n v="4.1710000000000003"/>
    <n v="3218"/>
    <n v="6"/>
    <n v="8"/>
    <n v="25"/>
    <n v="25"/>
    <n v="523"/>
    <n v="1"/>
    <n v="100"/>
    <x v="2"/>
    <x v="0"/>
    <x v="2"/>
    <x v="0"/>
  </r>
  <r>
    <n v="568"/>
    <s v="5a4df4937ce75c31079ba413"/>
    <n v="1"/>
    <x v="86"/>
    <n v="1000"/>
    <n v="4.1740000000000004"/>
    <n v="17856"/>
    <n v="14"/>
    <n v="102"/>
    <n v="87"/>
    <n v="87"/>
    <n v="197"/>
    <m/>
    <m/>
    <x v="2"/>
    <x v="0"/>
    <x v="0"/>
    <x v="1"/>
  </r>
  <r>
    <n v="569"/>
    <s v="576b9101ac55bd7f2108992b"/>
    <n v="1"/>
    <x v="86"/>
    <n v="1000"/>
    <n v="4.1790000000000003"/>
    <n v="37375"/>
    <n v="2.72"/>
    <n v="17"/>
    <n v="85"/>
    <n v="85"/>
    <n v="116"/>
    <m/>
    <m/>
    <x v="2"/>
    <x v="0"/>
    <x v="0"/>
    <x v="1"/>
  </r>
  <r>
    <n v="570"/>
    <s v="54a2cd4940b3782666e8a5bf"/>
    <n v="1"/>
    <x v="86"/>
    <n v="1000"/>
    <n v="4.181"/>
    <n v="4778"/>
    <n v="17"/>
    <n v="75"/>
    <n v="78"/>
    <n v="78"/>
    <n v="479"/>
    <m/>
    <m/>
    <x v="2"/>
    <x v="0"/>
    <x v="0"/>
    <x v="1"/>
  </r>
  <r>
    <n v="571"/>
    <s v="58539804afa5ec4cae2cdce8"/>
    <n v="1"/>
    <x v="86"/>
    <n v="1000"/>
    <n v="4.181"/>
    <n v="816"/>
    <n v="8"/>
    <n v="7"/>
    <n v="-14"/>
    <n v="-14"/>
    <n v="398"/>
    <m/>
    <m/>
    <x v="2"/>
    <x v="0"/>
    <x v="1"/>
    <x v="1"/>
  </r>
  <r>
    <n v="572"/>
    <s v="59bcfadb776ab96ae984be82"/>
    <n v="1"/>
    <x v="86"/>
    <n v="1000"/>
    <n v="4.1909999999999998"/>
    <n v="9034"/>
    <n v="8"/>
    <n v="22"/>
    <n v="64"/>
    <n v="64"/>
    <n v="638"/>
    <n v="1"/>
    <n v="100"/>
    <x v="2"/>
    <x v="0"/>
    <x v="0"/>
    <x v="0"/>
  </r>
  <r>
    <n v="573"/>
    <s v="5787268541b5257c73d0132f"/>
    <n v="1"/>
    <x v="86"/>
    <n v="1000"/>
    <n v="4.1929999999999996"/>
    <n v="14974"/>
    <n v="8"/>
    <n v="9"/>
    <n v="12"/>
    <n v="12"/>
    <n v="621"/>
    <m/>
    <m/>
    <x v="2"/>
    <x v="0"/>
    <x v="2"/>
    <x v="1"/>
  </r>
  <r>
    <n v="574"/>
    <s v="5b0a6169012875789c76ebba"/>
    <n v="1"/>
    <x v="86"/>
    <n v="1000"/>
    <n v="4.1980000000000004"/>
    <n v="2510"/>
    <n v="6"/>
    <n v="6"/>
    <n v="0"/>
    <n v="0"/>
    <n v="170"/>
    <m/>
    <m/>
    <x v="2"/>
    <x v="0"/>
    <x v="1"/>
    <x v="1"/>
  </r>
  <r>
    <n v="575"/>
    <s v="590d6c356815062709f1b06c"/>
    <n v="1"/>
    <x v="86"/>
    <n v="1000"/>
    <n v="4.2039999999999997"/>
    <n v="941"/>
    <n v="7"/>
    <n v="6"/>
    <n v="-16"/>
    <n v="-16"/>
    <n v="129"/>
    <n v="1"/>
    <n v="100"/>
    <x v="2"/>
    <x v="0"/>
    <x v="1"/>
    <x v="0"/>
  </r>
  <r>
    <n v="576"/>
    <s v="5950d54a4b913a1174a7ae6d"/>
    <n v="1"/>
    <x v="86"/>
    <n v="1000"/>
    <n v="4.2089999999999996"/>
    <n v="2212"/>
    <n v="8"/>
    <n v="30"/>
    <n v="74"/>
    <n v="74"/>
    <n v="270"/>
    <n v="1"/>
    <n v="100"/>
    <x v="2"/>
    <x v="0"/>
    <x v="0"/>
    <x v="0"/>
  </r>
  <r>
    <n v="577"/>
    <s v="5d4cf83dc8bc520142c8534f"/>
    <n v="1"/>
    <x v="86"/>
    <n v="1000"/>
    <n v="4.21"/>
    <n v="706"/>
    <n v="5.75"/>
    <n v="25"/>
    <n v="77"/>
    <n v="77"/>
    <n v="117"/>
    <m/>
    <m/>
    <x v="2"/>
    <x v="0"/>
    <x v="0"/>
    <x v="1"/>
  </r>
  <r>
    <n v="578"/>
    <s v="5ba9af0fef66004cac1013f7"/>
    <n v="1"/>
    <x v="86"/>
    <n v="1000"/>
    <n v="4.2119999999999997"/>
    <n v="2495"/>
    <n v="12"/>
    <n v="102"/>
    <n v="89"/>
    <n v="89"/>
    <n v="206"/>
    <m/>
    <m/>
    <x v="2"/>
    <x v="0"/>
    <x v="0"/>
    <x v="1"/>
  </r>
  <r>
    <n v="579"/>
    <s v="58cf8bc8375c92523736b540"/>
    <n v="1"/>
    <x v="86"/>
    <n v="1000"/>
    <n v="4.2130000000000001"/>
    <n v="47639"/>
    <n v="11"/>
    <n v="24"/>
    <n v="55"/>
    <n v="55"/>
    <n v="154"/>
    <n v="1"/>
    <n v="100"/>
    <x v="2"/>
    <x v="0"/>
    <x v="0"/>
    <x v="0"/>
  </r>
  <r>
    <n v="580"/>
    <s v="5a4b4ab27dee4a057cca7429"/>
    <n v="1"/>
    <x v="86"/>
    <n v="1000"/>
    <n v="4.2149999999999999"/>
    <n v="11597"/>
    <n v="11"/>
    <n v="68"/>
    <n v="84"/>
    <n v="84"/>
    <n v="211"/>
    <m/>
    <m/>
    <x v="2"/>
    <x v="0"/>
    <x v="0"/>
    <x v="1"/>
  </r>
  <r>
    <n v="581"/>
    <s v="5810c45baf5d3c19670b3f9a"/>
    <n v="1"/>
    <x v="86"/>
    <n v="1000"/>
    <n v="4.2169999999999996"/>
    <n v="8352"/>
    <n v="8"/>
    <n v="7"/>
    <n v="-14"/>
    <n v="-14"/>
    <n v="558"/>
    <m/>
    <m/>
    <x v="2"/>
    <x v="0"/>
    <x v="1"/>
    <x v="1"/>
  </r>
  <r>
    <n v="582"/>
    <s v="5accdb3c1baafe6febd26cf3"/>
    <n v="1"/>
    <x v="86"/>
    <n v="1000"/>
    <n v="4.22"/>
    <n v="6570"/>
    <n v="5.77"/>
    <n v="16"/>
    <n v="64"/>
    <n v="64"/>
    <n v="687"/>
    <m/>
    <m/>
    <x v="2"/>
    <x v="0"/>
    <x v="0"/>
    <x v="1"/>
  </r>
  <r>
    <n v="583"/>
    <s v="570cfe55a18a3f4630d18c02"/>
    <n v="1"/>
    <x v="86"/>
    <n v="1000"/>
    <n v="4.2229999999999999"/>
    <n v="1178"/>
    <n v="14"/>
    <n v="12"/>
    <n v="-16"/>
    <n v="-16"/>
    <n v="429"/>
    <n v="1"/>
    <n v="100"/>
    <x v="2"/>
    <x v="0"/>
    <x v="1"/>
    <x v="0"/>
  </r>
  <r>
    <n v="584"/>
    <s v="58c14b3e98d70751f799bc3f"/>
    <n v="1"/>
    <x v="86"/>
    <n v="1000"/>
    <n v="4.2290000000000001"/>
    <n v="3533"/>
    <n v="15"/>
    <n v="13"/>
    <n v="-15"/>
    <n v="-15"/>
    <n v="497"/>
    <n v="1"/>
    <n v="100"/>
    <x v="2"/>
    <x v="0"/>
    <x v="1"/>
    <x v="0"/>
  </r>
  <r>
    <n v="585"/>
    <s v="5a0fe8770a332a615df86c5e"/>
    <n v="1"/>
    <x v="86"/>
    <n v="1000"/>
    <n v="4.2290000000000001"/>
    <n v="4298"/>
    <n v="9"/>
    <n v="9"/>
    <n v="0"/>
    <n v="0"/>
    <n v="216"/>
    <m/>
    <m/>
    <x v="2"/>
    <x v="0"/>
    <x v="1"/>
    <x v="1"/>
  </r>
  <r>
    <n v="586"/>
    <s v="595f3d28ce4e69232af53c32"/>
    <n v="1"/>
    <x v="86"/>
    <n v="1000"/>
    <n v="4.2380000000000004"/>
    <n v="12322"/>
    <n v="16"/>
    <n v="26"/>
    <n v="39"/>
    <n v="39"/>
    <n v="450"/>
    <m/>
    <m/>
    <x v="2"/>
    <x v="0"/>
    <x v="3"/>
    <x v="1"/>
  </r>
  <r>
    <n v="587"/>
    <s v="58ad365fb3bd6d507b06db0f"/>
    <n v="1"/>
    <x v="86"/>
    <n v="1000"/>
    <n v="4.2409999999999997"/>
    <n v="15540"/>
    <n v="12"/>
    <n v="93"/>
    <n v="88"/>
    <n v="88"/>
    <n v="534"/>
    <n v="1"/>
    <n v="100"/>
    <x v="2"/>
    <x v="0"/>
    <x v="0"/>
    <x v="0"/>
  </r>
  <r>
    <n v="588"/>
    <s v="58475ecf5eee8869e4ad9a07"/>
    <n v="1"/>
    <x v="86"/>
    <n v="1000"/>
    <n v="4.2430000000000003"/>
    <n v="3709"/>
    <n v="5.71"/>
    <n v="13"/>
    <n v="57"/>
    <n v="57"/>
    <n v="317"/>
    <m/>
    <m/>
    <x v="2"/>
    <x v="0"/>
    <x v="0"/>
    <x v="1"/>
  </r>
  <r>
    <n v="589"/>
    <s v="5af25671e139d756e4f0afbe"/>
    <n v="1"/>
    <x v="86"/>
    <n v="1000"/>
    <n v="4.2460000000000004"/>
    <n v="8404"/>
    <n v="9"/>
    <n v="84"/>
    <n v="90"/>
    <n v="90"/>
    <n v="420"/>
    <n v="1"/>
    <n v="100"/>
    <x v="2"/>
    <x v="0"/>
    <x v="0"/>
    <x v="0"/>
  </r>
  <r>
    <n v="590"/>
    <s v="5aad329608a224392d805720"/>
    <n v="1"/>
    <x v="86"/>
    <n v="1000"/>
    <n v="4.2539999999999996"/>
    <n v="1038"/>
    <n v="15"/>
    <n v="13"/>
    <n v="-15"/>
    <n v="-15"/>
    <n v="277"/>
    <m/>
    <m/>
    <x v="2"/>
    <x v="0"/>
    <x v="1"/>
    <x v="1"/>
  </r>
  <r>
    <n v="591"/>
    <s v="5853b96be788110ac30168b9"/>
    <n v="1"/>
    <x v="86"/>
    <n v="1000"/>
    <n v="4.2539999999999996"/>
    <n v="6033"/>
    <n v="16"/>
    <n v="14"/>
    <n v="-14"/>
    <n v="-14"/>
    <n v="552"/>
    <m/>
    <m/>
    <x v="2"/>
    <x v="0"/>
    <x v="1"/>
    <x v="1"/>
  </r>
  <r>
    <n v="592"/>
    <s v="566a3ef17233ff2686443082"/>
    <n v="1"/>
    <x v="86"/>
    <n v="1000"/>
    <n v="4.2569999999999997"/>
    <n v="25752"/>
    <n v="8"/>
    <n v="7"/>
    <n v="-14"/>
    <n v="-14"/>
    <n v="843"/>
    <m/>
    <m/>
    <x v="2"/>
    <x v="0"/>
    <x v="1"/>
    <x v="1"/>
  </r>
  <r>
    <n v="593"/>
    <s v="5ae0213bb722cf61f1aa3624"/>
    <n v="1"/>
    <x v="86"/>
    <n v="1000"/>
    <n v="4.26"/>
    <n v="2992"/>
    <n v="8"/>
    <n v="11"/>
    <n v="28"/>
    <n v="28"/>
    <n v="153"/>
    <n v="1"/>
    <n v="100"/>
    <x v="2"/>
    <x v="0"/>
    <x v="3"/>
    <x v="0"/>
  </r>
  <r>
    <n v="594"/>
    <s v="582ff94e0d44631042fe7c41"/>
    <n v="1"/>
    <x v="86"/>
    <n v="1000"/>
    <n v="4.2610000000000001"/>
    <n v="14298"/>
    <n v="8"/>
    <n v="7"/>
    <n v="-14"/>
    <n v="-14"/>
    <n v="439"/>
    <m/>
    <m/>
    <x v="2"/>
    <x v="0"/>
    <x v="1"/>
    <x v="1"/>
  </r>
  <r>
    <n v="595"/>
    <s v="5bbf00e6c5fdec1c0e0d401d"/>
    <n v="1"/>
    <x v="86"/>
    <n v="1000"/>
    <n v="4.2640000000000002"/>
    <n v="904"/>
    <n v="5.86"/>
    <n v="11"/>
    <n v="47"/>
    <n v="47"/>
    <n v="512"/>
    <n v="1"/>
    <n v="100"/>
    <x v="2"/>
    <x v="0"/>
    <x v="3"/>
    <x v="0"/>
  </r>
  <r>
    <n v="596"/>
    <s v="55dc6b85f51bf838d3e3dcc2"/>
    <n v="1"/>
    <x v="86"/>
    <n v="1000"/>
    <n v="4.2649999999999997"/>
    <n v="62240"/>
    <n v="14"/>
    <n v="86"/>
    <n v="84"/>
    <n v="84"/>
    <n v="546"/>
    <n v="1"/>
    <n v="100"/>
    <x v="2"/>
    <x v="0"/>
    <x v="0"/>
    <x v="0"/>
  </r>
  <r>
    <n v="597"/>
    <s v="5a40bd3812fa1c2c21498ea7"/>
    <n v="1"/>
    <x v="86"/>
    <n v="1000"/>
    <n v="4.2789999999999999"/>
    <n v="3396"/>
    <n v="5.73"/>
    <n v="5"/>
    <n v="-14"/>
    <n v="-14"/>
    <n v="182"/>
    <m/>
    <m/>
    <x v="2"/>
    <x v="0"/>
    <x v="1"/>
    <x v="1"/>
  </r>
  <r>
    <n v="598"/>
    <s v="58d9f311fe9cae52ce0213ec"/>
    <n v="1"/>
    <x v="86"/>
    <n v="1000"/>
    <n v="4.2789999999999999"/>
    <n v="6383"/>
    <n v="11"/>
    <n v="14"/>
    <n v="22"/>
    <n v="22"/>
    <n v="651"/>
    <n v="1"/>
    <n v="100"/>
    <x v="2"/>
    <x v="0"/>
    <x v="2"/>
    <x v="0"/>
  </r>
  <r>
    <n v="599"/>
    <s v="58a3f270e269ee522580e6bb"/>
    <n v="1"/>
    <x v="86"/>
    <n v="1000"/>
    <n v="4.2960000000000003"/>
    <n v="99800"/>
    <n v="14"/>
    <n v="12"/>
    <n v="-16"/>
    <n v="-16"/>
    <n v="176"/>
    <m/>
    <m/>
    <x v="2"/>
    <x v="0"/>
    <x v="1"/>
    <x v="1"/>
  </r>
  <r>
    <n v="600"/>
    <s v="587dcb1b6fa68c4caba87529"/>
    <n v="1"/>
    <x v="86"/>
    <n v="1000"/>
    <n v="4.298"/>
    <n v="794"/>
    <n v="9"/>
    <n v="8"/>
    <n v="-12"/>
    <n v="-12"/>
    <n v="192"/>
    <m/>
    <m/>
    <x v="2"/>
    <x v="0"/>
    <x v="1"/>
    <x v="1"/>
  </r>
  <r>
    <n v="601"/>
    <s v="5d3bc9f8e13a7e654424a4cb"/>
    <n v="1"/>
    <x v="86"/>
    <n v="1000"/>
    <n v="4.306"/>
    <n v="173"/>
    <n v="8"/>
    <n v="11"/>
    <n v="28"/>
    <n v="28"/>
    <n v="127"/>
    <n v="1"/>
    <n v="100"/>
    <x v="2"/>
    <x v="0"/>
    <x v="3"/>
    <x v="0"/>
  </r>
  <r>
    <n v="602"/>
    <s v="59c25e6a30e1f368ea189232"/>
    <n v="1"/>
    <x v="86"/>
    <n v="1000"/>
    <n v="4.3079999999999998"/>
    <n v="4084"/>
    <n v="24"/>
    <n v="59"/>
    <n v="60"/>
    <n v="60"/>
    <n v="762"/>
    <m/>
    <m/>
    <x v="2"/>
    <x v="0"/>
    <x v="0"/>
    <x v="1"/>
  </r>
  <r>
    <n v="603"/>
    <s v="57383b023a698c3a936ce406"/>
    <n v="1"/>
    <x v="86"/>
    <n v="1000"/>
    <n v="4.3159999999999998"/>
    <n v="2946"/>
    <n v="7"/>
    <n v="49"/>
    <n v="86"/>
    <n v="86"/>
    <n v="194"/>
    <n v="1"/>
    <n v="100"/>
    <x v="2"/>
    <x v="0"/>
    <x v="0"/>
    <x v="0"/>
  </r>
  <r>
    <n v="604"/>
    <s v="5873347af1f65d4d61b69b1a"/>
    <n v="1"/>
    <x v="86"/>
    <n v="1000"/>
    <n v="4.319"/>
    <n v="791"/>
    <n v="3.84"/>
    <n v="4"/>
    <n v="4"/>
    <n v="4"/>
    <n v="55"/>
    <m/>
    <m/>
    <x v="2"/>
    <x v="0"/>
    <x v="2"/>
    <x v="1"/>
  </r>
  <r>
    <n v="605"/>
    <s v="58778fdcdfa6bc28858f3422"/>
    <n v="1"/>
    <x v="86"/>
    <n v="1000"/>
    <n v="4.3239999999999998"/>
    <n v="10963"/>
    <n v="7"/>
    <n v="6"/>
    <n v="-16"/>
    <n v="-16"/>
    <n v="144"/>
    <m/>
    <m/>
    <x v="2"/>
    <x v="0"/>
    <x v="1"/>
    <x v="1"/>
  </r>
  <r>
    <n v="606"/>
    <s v="5b8deaae2eb51f6d30ff9a3d"/>
    <n v="1"/>
    <x v="86"/>
    <n v="1000"/>
    <n v="4.3319999999999999"/>
    <n v="4425"/>
    <n v="7"/>
    <n v="6"/>
    <n v="-16"/>
    <n v="-16"/>
    <n v="207"/>
    <n v="1"/>
    <n v="100"/>
    <x v="2"/>
    <x v="0"/>
    <x v="1"/>
    <x v="0"/>
  </r>
  <r>
    <n v="607"/>
    <s v="5b66b2f303523d3caa84aed5"/>
    <n v="1"/>
    <x v="86"/>
    <n v="1000"/>
    <n v="4.3339999999999996"/>
    <n v="895"/>
    <n v="11"/>
    <n v="85"/>
    <n v="88"/>
    <n v="88"/>
    <n v="454"/>
    <n v="1"/>
    <n v="100"/>
    <x v="2"/>
    <x v="0"/>
    <x v="0"/>
    <x v="0"/>
  </r>
  <r>
    <n v="608"/>
    <s v="57a155a4b63950286426744f"/>
    <n v="1"/>
    <x v="86"/>
    <n v="1000"/>
    <n v="4.3369999999999997"/>
    <n v="3403"/>
    <n v="8"/>
    <n v="48"/>
    <n v="84"/>
    <n v="84"/>
    <n v="794"/>
    <m/>
    <m/>
    <x v="2"/>
    <x v="0"/>
    <x v="0"/>
    <x v="1"/>
  </r>
  <r>
    <n v="609"/>
    <s v="54922e98223ebf6980220266"/>
    <n v="1"/>
    <x v="86"/>
    <n v="1000"/>
    <n v="4.3369999999999997"/>
    <n v="44840"/>
    <n v="12"/>
    <n v="72"/>
    <n v="84"/>
    <n v="84"/>
    <n v="566"/>
    <m/>
    <m/>
    <x v="2"/>
    <x v="0"/>
    <x v="0"/>
    <x v="1"/>
  </r>
  <r>
    <n v="610"/>
    <s v="586c683cc87b4c4f84b6b4de"/>
    <n v="1"/>
    <x v="86"/>
    <n v="1000"/>
    <n v="4.3490000000000002"/>
    <n v="2996"/>
    <n v="6"/>
    <n v="6"/>
    <n v="0"/>
    <n v="0"/>
    <n v="505"/>
    <m/>
    <m/>
    <x v="2"/>
    <x v="0"/>
    <x v="1"/>
    <x v="1"/>
  </r>
  <r>
    <n v="611"/>
    <s v="5528e6afecb5250bffe81ef7"/>
    <n v="1"/>
    <x v="86"/>
    <n v="1000"/>
    <n v="4.3499999999999996"/>
    <n v="32318"/>
    <n v="3.72"/>
    <n v="11"/>
    <n v="67"/>
    <n v="67"/>
    <n v="178"/>
    <m/>
    <m/>
    <x v="2"/>
    <x v="0"/>
    <x v="0"/>
    <x v="1"/>
  </r>
  <r>
    <n v="612"/>
    <s v="583bdad32f5e5304a69d5bd3"/>
    <n v="1"/>
    <x v="86"/>
    <n v="1000"/>
    <n v="4.3520000000000003"/>
    <n v="1428"/>
    <n v="6"/>
    <n v="6"/>
    <n v="0"/>
    <n v="0"/>
    <n v="330"/>
    <m/>
    <m/>
    <x v="2"/>
    <x v="0"/>
    <x v="1"/>
    <x v="1"/>
  </r>
  <r>
    <n v="613"/>
    <s v="5b41be818e210d22facca0bd"/>
    <n v="1"/>
    <x v="86"/>
    <n v="1000"/>
    <n v="4.3570000000000002"/>
    <n v="13909"/>
    <n v="5"/>
    <n v="5"/>
    <n v="0"/>
    <n v="0"/>
    <n v="166"/>
    <m/>
    <m/>
    <x v="2"/>
    <x v="0"/>
    <x v="1"/>
    <x v="1"/>
  </r>
  <r>
    <n v="614"/>
    <s v="5885a7e767f7c84d7657d220"/>
    <n v="1"/>
    <x v="86"/>
    <n v="1000"/>
    <n v="4.38"/>
    <n v="27740"/>
    <n v="9"/>
    <n v="38"/>
    <n v="77"/>
    <n v="77"/>
    <n v="312"/>
    <n v="1"/>
    <n v="100"/>
    <x v="2"/>
    <x v="0"/>
    <x v="0"/>
    <x v="0"/>
  </r>
  <r>
    <n v="615"/>
    <s v="585cc05eaf0e9d52046c895d"/>
    <n v="1"/>
    <x v="86"/>
    <n v="1000"/>
    <n v="4.38"/>
    <n v="17922"/>
    <n v="11"/>
    <n v="10"/>
    <n v="-10"/>
    <n v="-10"/>
    <n v="413"/>
    <m/>
    <m/>
    <x v="2"/>
    <x v="0"/>
    <x v="1"/>
    <x v="1"/>
  </r>
  <r>
    <n v="616"/>
    <s v="555bf637b0213719da7229df"/>
    <n v="1"/>
    <x v="86"/>
    <n v="1000"/>
    <n v="4.383"/>
    <n v="6275"/>
    <n v="8"/>
    <n v="38"/>
    <n v="79"/>
    <n v="79"/>
    <n v="196"/>
    <n v="1"/>
    <n v="100"/>
    <x v="2"/>
    <x v="0"/>
    <x v="0"/>
    <x v="0"/>
  </r>
  <r>
    <n v="617"/>
    <s v="5bdc1408c23b3222e81f3936"/>
    <n v="1"/>
    <x v="86"/>
    <n v="1000"/>
    <n v="4.3929999999999998"/>
    <n v="15221"/>
    <n v="1.66"/>
    <n v="2"/>
    <n v="17"/>
    <n v="17"/>
    <n v="33"/>
    <m/>
    <m/>
    <x v="2"/>
    <x v="0"/>
    <x v="2"/>
    <x v="1"/>
  </r>
  <r>
    <n v="618"/>
    <s v="5b80fee2008a3e2f6ec81563"/>
    <n v="1"/>
    <x v="86"/>
    <n v="1000"/>
    <n v="4.4169999999999998"/>
    <n v="3439"/>
    <n v="6"/>
    <n v="22"/>
    <n v="73"/>
    <n v="73"/>
    <n v="201"/>
    <n v="1"/>
    <n v="100"/>
    <x v="2"/>
    <x v="0"/>
    <x v="0"/>
    <x v="0"/>
  </r>
  <r>
    <n v="619"/>
    <s v="551506dc18b2791039a7286d"/>
    <n v="1"/>
    <x v="86"/>
    <n v="1000"/>
    <n v="4.42"/>
    <n v="1370"/>
    <n v="13"/>
    <n v="72"/>
    <n v="82"/>
    <n v="82"/>
    <n v="326"/>
    <m/>
    <m/>
    <x v="2"/>
    <x v="0"/>
    <x v="0"/>
    <x v="1"/>
  </r>
  <r>
    <n v="620"/>
    <s v="592968ba63950d682ca4b195"/>
    <n v="1"/>
    <x v="86"/>
    <n v="1000"/>
    <n v="4.423"/>
    <n v="2904"/>
    <n v="5"/>
    <n v="5"/>
    <n v="0"/>
    <n v="0"/>
    <n v="377"/>
    <m/>
    <m/>
    <x v="2"/>
    <x v="0"/>
    <x v="1"/>
    <x v="1"/>
  </r>
  <r>
    <n v="621"/>
    <s v="56cd50871e15ff78c21de8a9"/>
    <n v="5"/>
    <x v="87"/>
    <n v="100"/>
    <n v="3.956"/>
    <n v="1047"/>
    <n v="3.81"/>
    <n v="3.6"/>
    <n v="3"/>
    <n v="3.2"/>
    <n v="33"/>
    <n v="2"/>
    <n v="40"/>
    <x v="2"/>
    <x v="1"/>
    <x v="2"/>
    <x v="0"/>
  </r>
  <r>
    <n v="622"/>
    <s v="583da4b58108913e6c79a32e"/>
    <n v="6"/>
    <x v="87"/>
    <n v="83"/>
    <n v="4.069"/>
    <n v="2782"/>
    <n v="6.14"/>
    <n v="7.33"/>
    <n v="22"/>
    <n v="22.33"/>
    <n v="29"/>
    <n v="3"/>
    <n v="50"/>
    <x v="2"/>
    <x v="0"/>
    <x v="2"/>
    <x v="0"/>
  </r>
  <r>
    <n v="623"/>
    <s v="5e4bb29957cc9b46d2e498f7"/>
    <n v="4"/>
    <x v="88"/>
    <n v="100"/>
    <n v="3.802"/>
    <n v="111"/>
    <n v="7.5"/>
    <n v="10"/>
    <n v="30"/>
    <n v="30"/>
    <n v="11"/>
    <n v="2"/>
    <n v="50"/>
    <x v="2"/>
    <x v="1"/>
    <x v="3"/>
    <x v="0"/>
  </r>
  <r>
    <n v="624"/>
    <s v="5b47ffa01e5bc91f3eea4f1f"/>
    <n v="4"/>
    <x v="88"/>
    <n v="100"/>
    <n v="3.9750000000000001"/>
    <n v="366"/>
    <n v="7"/>
    <n v="6.5"/>
    <n v="-4"/>
    <n v="-4.5"/>
    <n v="9"/>
    <n v="2"/>
    <n v="50"/>
    <x v="2"/>
    <x v="1"/>
    <x v="1"/>
    <x v="0"/>
  </r>
  <r>
    <n v="625"/>
    <s v="5aea8f2ccac3c5238de1a99c"/>
    <n v="4"/>
    <x v="88"/>
    <n v="100"/>
    <n v="4.1440000000000001"/>
    <n v="1160"/>
    <n v="9"/>
    <n v="31.5"/>
    <n v="64"/>
    <n v="64"/>
    <n v="38"/>
    <n v="2"/>
    <n v="50"/>
    <x v="2"/>
    <x v="0"/>
    <x v="0"/>
    <x v="0"/>
  </r>
  <r>
    <n v="626"/>
    <s v="5eb51ed929e7865dc268a561"/>
    <n v="5"/>
    <x v="89"/>
    <n v="70"/>
    <n v="3.8740000000000001"/>
    <n v="127"/>
    <n v="7.2"/>
    <n v="8.4"/>
    <n v="12"/>
    <n v="12"/>
    <n v="4"/>
    <n v="3"/>
    <n v="60"/>
    <x v="2"/>
    <x v="1"/>
    <x v="2"/>
    <x v="0"/>
  </r>
  <r>
    <n v="627"/>
    <s v="5dc40e313710b91b0f04fcc5"/>
    <n v="3"/>
    <x v="90"/>
    <n v="100"/>
    <n v="3.625"/>
    <n v="112"/>
    <n v="6"/>
    <n v="6"/>
    <n v="0"/>
    <n v="0"/>
    <n v="5"/>
    <n v="1"/>
    <n v="33"/>
    <x v="2"/>
    <x v="1"/>
    <x v="1"/>
    <x v="0"/>
  </r>
  <r>
    <n v="628"/>
    <s v="5d3da852e4b65d3e801e9b5d"/>
    <n v="3"/>
    <x v="90"/>
    <n v="100"/>
    <n v="3.7320000000000002"/>
    <n v="168"/>
    <n v="11"/>
    <n v="10"/>
    <n v="-10"/>
    <n v="-10"/>
    <n v="45"/>
    <n v="2"/>
    <n v="67"/>
    <x v="2"/>
    <x v="1"/>
    <x v="1"/>
    <x v="0"/>
  </r>
  <r>
    <n v="629"/>
    <s v="5a698cef028bbd27227d3d12"/>
    <n v="3"/>
    <x v="90"/>
    <n v="100"/>
    <n v="3.8839999999999999"/>
    <n v="1050"/>
    <n v="3"/>
    <n v="3"/>
    <n v="0"/>
    <n v="0"/>
    <n v="58"/>
    <n v="2"/>
    <n v="67"/>
    <x v="2"/>
    <x v="1"/>
    <x v="1"/>
    <x v="0"/>
  </r>
  <r>
    <n v="630"/>
    <s v="584a7a381591451e4e3af3df"/>
    <n v="3"/>
    <x v="90"/>
    <n v="100"/>
    <n v="3.988"/>
    <n v="4080"/>
    <n v="9.67"/>
    <n v="25.33"/>
    <n v="62"/>
    <n v="62.33"/>
    <n v="55"/>
    <n v="2"/>
    <n v="67"/>
    <x v="2"/>
    <x v="1"/>
    <x v="0"/>
    <x v="0"/>
  </r>
  <r>
    <n v="631"/>
    <s v="580c7d0a8b67fa197454a2d1"/>
    <n v="3"/>
    <x v="90"/>
    <n v="100"/>
    <n v="4.0410000000000004"/>
    <n v="4705"/>
    <n v="6"/>
    <n v="6"/>
    <n v="0"/>
    <n v="0"/>
    <n v="27"/>
    <n v="1"/>
    <n v="33"/>
    <x v="2"/>
    <x v="0"/>
    <x v="1"/>
    <x v="0"/>
  </r>
  <r>
    <n v="632"/>
    <s v="596b4085d4cc34162e778769"/>
    <n v="3"/>
    <x v="90"/>
    <n v="100"/>
    <n v="4.0490000000000004"/>
    <n v="9940"/>
    <n v="13.67"/>
    <n v="101"/>
    <n v="85"/>
    <n v="85.33"/>
    <n v="29"/>
    <n v="1"/>
    <n v="33"/>
    <x v="2"/>
    <x v="0"/>
    <x v="0"/>
    <x v="0"/>
  </r>
  <r>
    <n v="633"/>
    <s v="5d8b2f16ddac8e198fc7c8b7"/>
    <n v="3"/>
    <x v="90"/>
    <n v="100"/>
    <n v="4.1550000000000002"/>
    <n v="483"/>
    <n v="7"/>
    <n v="6"/>
    <n v="-16"/>
    <n v="-16"/>
    <n v="25"/>
    <n v="1"/>
    <n v="33"/>
    <x v="2"/>
    <x v="0"/>
    <x v="1"/>
    <x v="0"/>
  </r>
  <r>
    <n v="634"/>
    <s v="5df71a34092d7302140be245"/>
    <n v="3"/>
    <x v="90"/>
    <n v="100"/>
    <n v="4.1559999999999997"/>
    <n v="885"/>
    <n v="9.24"/>
    <n v="8.33"/>
    <n v="-11"/>
    <n v="-11.33"/>
    <n v="11"/>
    <n v="1"/>
    <n v="33"/>
    <x v="2"/>
    <x v="0"/>
    <x v="1"/>
    <x v="0"/>
  </r>
  <r>
    <n v="635"/>
    <s v="5710ac98b2d43a5925da8dd8"/>
    <n v="3"/>
    <x v="90"/>
    <n v="100"/>
    <n v="4.1680000000000001"/>
    <n v="4856"/>
    <n v="3.33"/>
    <n v="8.33"/>
    <n v="57"/>
    <n v="57"/>
    <n v="33"/>
    <m/>
    <m/>
    <x v="2"/>
    <x v="0"/>
    <x v="0"/>
    <x v="1"/>
  </r>
  <r>
    <n v="636"/>
    <s v="5eb6598ec43e5c5ab9fd5a78"/>
    <n v="4"/>
    <x v="90"/>
    <n v="75"/>
    <n v="3.7909999999999999"/>
    <n v="129"/>
    <n v="8"/>
    <n v="8.5"/>
    <n v="3"/>
    <n v="3"/>
    <n v="9"/>
    <n v="2"/>
    <n v="50"/>
    <x v="2"/>
    <x v="1"/>
    <x v="2"/>
    <x v="0"/>
  </r>
  <r>
    <n v="637"/>
    <s v="5e4f6a3a29e786346774bcce"/>
    <n v="4"/>
    <x v="90"/>
    <n v="75"/>
    <n v="4.0359999999999996"/>
    <n v="28"/>
    <n v="4.5"/>
    <n v="4.5"/>
    <n v="0"/>
    <n v="0"/>
    <n v="3"/>
    <n v="2"/>
    <n v="50"/>
    <x v="2"/>
    <x v="0"/>
    <x v="1"/>
    <x v="0"/>
  </r>
  <r>
    <n v="638"/>
    <s v="5eb50ff17041111c43033565"/>
    <n v="3"/>
    <x v="91"/>
    <n v="83"/>
    <n v="3.5449999999999999"/>
    <n v="211"/>
    <n v="8"/>
    <n v="7"/>
    <n v="-14"/>
    <n v="-14"/>
    <n v="6"/>
    <n v="1"/>
    <n v="33"/>
    <x v="2"/>
    <x v="1"/>
    <x v="1"/>
    <x v="0"/>
  </r>
  <r>
    <n v="639"/>
    <s v="5e4a06cb57cc9b1700e826b3"/>
    <n v="2"/>
    <x v="92"/>
    <n v="100"/>
    <n v="3.1859999999999999"/>
    <n v="43"/>
    <n v="8"/>
    <n v="26"/>
    <n v="70"/>
    <n v="70"/>
    <n v="14"/>
    <n v="1"/>
    <n v="50"/>
    <x v="2"/>
    <x v="2"/>
    <x v="0"/>
    <x v="0"/>
  </r>
  <r>
    <n v="640"/>
    <s v="5e54a05c207f9d3e6cee7040"/>
    <n v="2"/>
    <x v="92"/>
    <n v="100"/>
    <n v="3.1880000000000002"/>
    <n v="32"/>
    <n v="7"/>
    <n v="26"/>
    <n v="74"/>
    <n v="74"/>
    <n v="10"/>
    <m/>
    <m/>
    <x v="2"/>
    <x v="2"/>
    <x v="0"/>
    <x v="1"/>
  </r>
  <r>
    <n v="641"/>
    <s v="5dd790db4cc6678b7441ba5d"/>
    <n v="2"/>
    <x v="92"/>
    <n v="100"/>
    <n v="3.3820000000000001"/>
    <n v="364"/>
    <n v="11"/>
    <n v="10"/>
    <n v="-10"/>
    <n v="-10"/>
    <n v="45"/>
    <n v="1"/>
    <n v="50"/>
    <x v="2"/>
    <x v="2"/>
    <x v="1"/>
    <x v="0"/>
  </r>
  <r>
    <n v="642"/>
    <s v="5e61e5580705ac039c94c08f"/>
    <n v="2"/>
    <x v="92"/>
    <n v="100"/>
    <n v="3.4089999999999998"/>
    <n v="359"/>
    <n v="3.7"/>
    <n v="47"/>
    <n v="93"/>
    <n v="93"/>
    <n v="11"/>
    <n v="1"/>
    <n v="50"/>
    <x v="2"/>
    <x v="2"/>
    <x v="0"/>
    <x v="0"/>
  </r>
  <r>
    <n v="643"/>
    <s v="56498ab42a6bdb4474afa47b"/>
    <n v="2"/>
    <x v="92"/>
    <n v="100"/>
    <n v="3.5350000000000001"/>
    <n v="1472"/>
    <n v="9"/>
    <n v="34"/>
    <n v="74"/>
    <n v="74"/>
    <n v="28"/>
    <n v="1"/>
    <n v="50"/>
    <x v="2"/>
    <x v="1"/>
    <x v="0"/>
    <x v="0"/>
  </r>
  <r>
    <n v="644"/>
    <s v="5d4e6ca57edfad27a90a6726"/>
    <n v="2"/>
    <x v="92"/>
    <n v="100"/>
    <n v="3.581"/>
    <n v="31"/>
    <n v="8"/>
    <n v="11"/>
    <n v="28"/>
    <n v="28"/>
    <n v="21"/>
    <n v="1"/>
    <n v="50"/>
    <x v="2"/>
    <x v="1"/>
    <x v="3"/>
    <x v="0"/>
  </r>
  <r>
    <n v="645"/>
    <s v="5d50fb2b1d9a8e23e3334c81"/>
    <n v="2"/>
    <x v="92"/>
    <n v="100"/>
    <n v="3.6589999999999998"/>
    <n v="138"/>
    <n v="8"/>
    <n v="26"/>
    <n v="70"/>
    <n v="70"/>
    <n v="13"/>
    <n v="1"/>
    <n v="50"/>
    <x v="2"/>
    <x v="1"/>
    <x v="0"/>
    <x v="0"/>
  </r>
  <r>
    <n v="646"/>
    <s v="5e9a629b29e786250230ba90"/>
    <n v="2"/>
    <x v="92"/>
    <n v="100"/>
    <n v="3.6669999999999998"/>
    <n v="18"/>
    <n v="11"/>
    <n v="16"/>
    <n v="32"/>
    <n v="32"/>
    <n v="12"/>
    <n v="1"/>
    <n v="50"/>
    <x v="2"/>
    <x v="1"/>
    <x v="3"/>
    <x v="0"/>
  </r>
  <r>
    <n v="647"/>
    <s v="5b0cd8577e43f257d4a05469"/>
    <n v="2"/>
    <x v="92"/>
    <n v="100"/>
    <n v="3.7080000000000002"/>
    <n v="1279"/>
    <n v="11"/>
    <n v="17"/>
    <n v="36"/>
    <n v="36"/>
    <n v="3"/>
    <n v="1"/>
    <n v="50"/>
    <x v="2"/>
    <x v="1"/>
    <x v="3"/>
    <x v="0"/>
  </r>
  <r>
    <n v="648"/>
    <s v="5e693079c6a6e679c0bf4613"/>
    <n v="2"/>
    <x v="92"/>
    <n v="100"/>
    <n v="3.766"/>
    <n v="231"/>
    <n v="8"/>
    <n v="59"/>
    <n v="87"/>
    <n v="87"/>
    <n v="114"/>
    <n v="1"/>
    <n v="50"/>
    <x v="2"/>
    <x v="1"/>
    <x v="0"/>
    <x v="0"/>
  </r>
  <r>
    <n v="649"/>
    <s v="5d56b32c40defd78043d5af9"/>
    <n v="2"/>
    <x v="92"/>
    <n v="100"/>
    <n v="3.774"/>
    <n v="31"/>
    <n v="13"/>
    <n v="11"/>
    <n v="-18"/>
    <n v="-18"/>
    <n v="2"/>
    <n v="1"/>
    <n v="50"/>
    <x v="2"/>
    <x v="1"/>
    <x v="1"/>
    <x v="0"/>
  </r>
  <r>
    <n v="650"/>
    <s v="5eb5076129e786048168034d"/>
    <n v="2"/>
    <x v="92"/>
    <n v="100"/>
    <n v="3.786"/>
    <n v="117"/>
    <n v="8"/>
    <n v="10"/>
    <n v="20"/>
    <n v="20"/>
    <n v="6"/>
    <n v="1"/>
    <n v="50"/>
    <x v="2"/>
    <x v="1"/>
    <x v="2"/>
    <x v="0"/>
  </r>
  <r>
    <n v="651"/>
    <s v="5a792e56a71fbf471cf1fc99"/>
    <n v="2"/>
    <x v="92"/>
    <n v="100"/>
    <n v="3.8330000000000002"/>
    <n v="5846"/>
    <n v="8"/>
    <n v="51"/>
    <n v="85"/>
    <n v="85"/>
    <n v="31"/>
    <m/>
    <m/>
    <x v="2"/>
    <x v="1"/>
    <x v="0"/>
    <x v="1"/>
  </r>
  <r>
    <n v="652"/>
    <s v="52838e612dcc6469fa2d7104"/>
    <n v="2"/>
    <x v="92"/>
    <n v="100"/>
    <n v="3.84"/>
    <n v="16215"/>
    <n v="5"/>
    <n v="30"/>
    <n v="84"/>
    <n v="84"/>
    <n v="13"/>
    <n v="1"/>
    <n v="50"/>
    <x v="2"/>
    <x v="1"/>
    <x v="0"/>
    <x v="0"/>
  </r>
  <r>
    <n v="653"/>
    <s v="5e183869e344ec006fdaa805"/>
    <n v="2"/>
    <x v="92"/>
    <n v="100"/>
    <n v="3.855"/>
    <n v="131"/>
    <n v="17"/>
    <n v="108"/>
    <n v="85"/>
    <n v="84.5"/>
    <n v="50"/>
    <m/>
    <m/>
    <x v="2"/>
    <x v="1"/>
    <x v="0"/>
    <x v="1"/>
  </r>
  <r>
    <n v="654"/>
    <s v="5ac82ff62c49567ffa616535"/>
    <n v="2"/>
    <x v="92"/>
    <n v="100"/>
    <n v="3.855"/>
    <n v="435"/>
    <n v="11"/>
    <n v="84"/>
    <n v="87"/>
    <n v="87"/>
    <n v="18"/>
    <m/>
    <m/>
    <x v="2"/>
    <x v="1"/>
    <x v="0"/>
    <x v="1"/>
  </r>
  <r>
    <n v="655"/>
    <s v="58ff26fc42fc6a113afae083"/>
    <n v="2"/>
    <x v="92"/>
    <n v="100"/>
    <n v="3.8780000000000001"/>
    <n v="9078"/>
    <n v="10"/>
    <n v="64"/>
    <n v="85"/>
    <n v="84.5"/>
    <n v="34"/>
    <n v="1"/>
    <n v="50"/>
    <x v="2"/>
    <x v="1"/>
    <x v="0"/>
    <x v="0"/>
  </r>
  <r>
    <n v="656"/>
    <s v="5d9f24a451a4ed72d95bac9c"/>
    <n v="2"/>
    <x v="92"/>
    <n v="100"/>
    <n v="3.883"/>
    <n v="239"/>
    <n v="8"/>
    <n v="65"/>
    <n v="88"/>
    <n v="88"/>
    <n v="29"/>
    <n v="1"/>
    <n v="50"/>
    <x v="2"/>
    <x v="1"/>
    <x v="0"/>
    <x v="0"/>
  </r>
  <r>
    <n v="657"/>
    <s v="5d3e6e0ce13a7e7ae9f35f74"/>
    <n v="2"/>
    <x v="92"/>
    <n v="100"/>
    <n v="3.8940000000000001"/>
    <n v="104"/>
    <n v="9"/>
    <n v="8"/>
    <n v="-12"/>
    <n v="-12"/>
    <n v="27"/>
    <n v="1"/>
    <n v="50"/>
    <x v="2"/>
    <x v="1"/>
    <x v="1"/>
    <x v="0"/>
  </r>
  <r>
    <n v="658"/>
    <s v="5b348167af6b3122dba38825"/>
    <n v="2"/>
    <x v="92"/>
    <n v="100"/>
    <n v="3.9159999999999999"/>
    <n v="8996"/>
    <n v="5.77"/>
    <n v="5"/>
    <n v="-15"/>
    <n v="-15"/>
    <n v="4"/>
    <n v="1"/>
    <n v="50"/>
    <x v="2"/>
    <x v="1"/>
    <x v="1"/>
    <x v="0"/>
  </r>
  <r>
    <n v="659"/>
    <s v="577f79f928d95d5777eac030"/>
    <n v="2"/>
    <x v="92"/>
    <n v="100"/>
    <n v="3.9350000000000001"/>
    <n v="3060"/>
    <n v="7"/>
    <n v="6"/>
    <n v="-16"/>
    <n v="-16"/>
    <n v="22"/>
    <n v="1"/>
    <n v="50"/>
    <x v="2"/>
    <x v="1"/>
    <x v="1"/>
    <x v="0"/>
  </r>
  <r>
    <n v="660"/>
    <s v="55dc2bf3b92a5941ebd4ecf2"/>
    <n v="2"/>
    <x v="92"/>
    <n v="100"/>
    <n v="3.948"/>
    <n v="3237"/>
    <n v="10.5"/>
    <n v="46.5"/>
    <n v="78"/>
    <n v="77.5"/>
    <n v="32"/>
    <m/>
    <m/>
    <x v="2"/>
    <x v="1"/>
    <x v="0"/>
    <x v="1"/>
  </r>
  <r>
    <n v="661"/>
    <s v="55ed4e573a698c3a9daa8b2b"/>
    <n v="2"/>
    <x v="92"/>
    <n v="100"/>
    <n v="3.9510000000000001"/>
    <n v="16099"/>
    <n v="6.92"/>
    <n v="13.5"/>
    <n v="32"/>
    <n v="32"/>
    <n v="34"/>
    <m/>
    <m/>
    <x v="2"/>
    <x v="1"/>
    <x v="3"/>
    <x v="1"/>
  </r>
  <r>
    <n v="662"/>
    <s v="58a3db5e05b2f9716d029e30"/>
    <n v="2"/>
    <x v="92"/>
    <n v="100"/>
    <n v="3.968"/>
    <n v="16487"/>
    <n v="11"/>
    <n v="10"/>
    <n v="-10"/>
    <n v="-10"/>
    <n v="22"/>
    <n v="1"/>
    <n v="50"/>
    <x v="2"/>
    <x v="1"/>
    <x v="1"/>
    <x v="0"/>
  </r>
  <r>
    <n v="663"/>
    <s v="5a9e4f25e05388149703d9c8"/>
    <n v="2"/>
    <x v="92"/>
    <n v="100"/>
    <n v="3.9710000000000001"/>
    <n v="9703"/>
    <n v="9"/>
    <n v="8"/>
    <n v="-13"/>
    <n v="-13"/>
    <n v="20"/>
    <m/>
    <m/>
    <x v="2"/>
    <x v="1"/>
    <x v="1"/>
    <x v="1"/>
  </r>
  <r>
    <n v="664"/>
    <s v="56cd27b048e91e13aa3986e4"/>
    <n v="2"/>
    <x v="92"/>
    <n v="100"/>
    <n v="3.984"/>
    <n v="3515"/>
    <n v="6"/>
    <n v="8"/>
    <n v="25"/>
    <n v="25"/>
    <n v="13"/>
    <n v="1"/>
    <n v="50"/>
    <x v="2"/>
    <x v="1"/>
    <x v="2"/>
    <x v="0"/>
  </r>
  <r>
    <n v="665"/>
    <s v="56ab21890d8dad10e044b9ec"/>
    <n v="2"/>
    <x v="92"/>
    <n v="100"/>
    <n v="3.9910000000000001"/>
    <n v="8225"/>
    <n v="2"/>
    <n v="10"/>
    <n v="80"/>
    <n v="80"/>
    <n v="10"/>
    <n v="1"/>
    <n v="50"/>
    <x v="2"/>
    <x v="1"/>
    <x v="0"/>
    <x v="0"/>
  </r>
  <r>
    <n v="666"/>
    <s v="566e97ca39cce4269637a261"/>
    <n v="2"/>
    <x v="92"/>
    <n v="100"/>
    <n v="4.03"/>
    <n v="2166"/>
    <n v="15"/>
    <n v="13"/>
    <n v="-15"/>
    <n v="-15"/>
    <n v="56"/>
    <n v="1"/>
    <n v="50"/>
    <x v="2"/>
    <x v="0"/>
    <x v="1"/>
    <x v="0"/>
  </r>
  <r>
    <n v="667"/>
    <s v="58da49c92c3a8f52a755d4a0"/>
    <n v="2"/>
    <x v="92"/>
    <n v="100"/>
    <n v="4.0350000000000001"/>
    <n v="26951"/>
    <n v="2"/>
    <n v="2"/>
    <n v="0"/>
    <n v="0"/>
    <n v="9"/>
    <n v="1"/>
    <n v="50"/>
    <x v="2"/>
    <x v="0"/>
    <x v="1"/>
    <x v="0"/>
  </r>
  <r>
    <n v="668"/>
    <s v="5eba4bab58ed6ba265685ba1"/>
    <n v="2"/>
    <x v="92"/>
    <n v="100"/>
    <n v="4.0410000000000004"/>
    <n v="123"/>
    <n v="8"/>
    <n v="10"/>
    <n v="20"/>
    <n v="20"/>
    <n v="58"/>
    <n v="1"/>
    <n v="50"/>
    <x v="2"/>
    <x v="0"/>
    <x v="2"/>
    <x v="0"/>
  </r>
  <r>
    <n v="669"/>
    <s v="5e8ad4c829e7860d8e20b40c"/>
    <n v="2"/>
    <x v="92"/>
    <n v="100"/>
    <n v="4.048"/>
    <n v="21"/>
    <n v="13"/>
    <n v="11"/>
    <n v="-18"/>
    <n v="-18"/>
    <n v="26"/>
    <n v="1"/>
    <n v="50"/>
    <x v="2"/>
    <x v="0"/>
    <x v="1"/>
    <x v="0"/>
  </r>
  <r>
    <n v="670"/>
    <s v="5e50e6b968f8f90ec04531bf"/>
    <n v="2"/>
    <x v="92"/>
    <n v="100"/>
    <n v="4.069"/>
    <n v="189"/>
    <n v="3.94"/>
    <n v="8"/>
    <n v="51"/>
    <n v="51"/>
    <n v="21"/>
    <n v="1"/>
    <n v="50"/>
    <x v="2"/>
    <x v="0"/>
    <x v="0"/>
    <x v="0"/>
  </r>
  <r>
    <n v="671"/>
    <s v="593402ae25c4f54ed4e0abdf"/>
    <n v="2"/>
    <x v="92"/>
    <n v="100"/>
    <n v="4.0720000000000001"/>
    <n v="1926"/>
    <n v="11"/>
    <n v="134"/>
    <n v="92"/>
    <n v="92"/>
    <n v="28"/>
    <n v="1"/>
    <n v="50"/>
    <x v="2"/>
    <x v="0"/>
    <x v="0"/>
    <x v="0"/>
  </r>
  <r>
    <n v="672"/>
    <s v="568b82677f5cdb26abff2f9a"/>
    <n v="2"/>
    <x v="92"/>
    <n v="100"/>
    <n v="4.0780000000000003"/>
    <n v="22615"/>
    <n v="4"/>
    <n v="4"/>
    <n v="0"/>
    <n v="0"/>
    <n v="21"/>
    <n v="1"/>
    <n v="50"/>
    <x v="2"/>
    <x v="0"/>
    <x v="1"/>
    <x v="0"/>
  </r>
  <r>
    <n v="673"/>
    <s v="583141fbfef4094e51453d9b"/>
    <n v="2"/>
    <x v="92"/>
    <n v="100"/>
    <n v="4.0789999999999997"/>
    <n v="7497"/>
    <n v="4.67"/>
    <n v="4"/>
    <n v="-16"/>
    <n v="-16"/>
    <n v="82"/>
    <n v="1"/>
    <n v="50"/>
    <x v="2"/>
    <x v="0"/>
    <x v="1"/>
    <x v="0"/>
  </r>
  <r>
    <n v="674"/>
    <s v="57187da6f24dd9593ccc886a"/>
    <n v="2"/>
    <x v="92"/>
    <n v="100"/>
    <n v="4.09"/>
    <n v="43876"/>
    <n v="5"/>
    <n v="48"/>
    <n v="90"/>
    <n v="90"/>
    <n v="30"/>
    <n v="1"/>
    <n v="50"/>
    <x v="2"/>
    <x v="0"/>
    <x v="0"/>
    <x v="0"/>
  </r>
  <r>
    <n v="675"/>
    <s v="5844fc74f521924c9b5148f3"/>
    <n v="2"/>
    <x v="92"/>
    <n v="100"/>
    <n v="4.1150000000000002"/>
    <n v="576"/>
    <n v="2.71"/>
    <n v="3"/>
    <n v="10"/>
    <n v="10"/>
    <n v="12"/>
    <n v="1"/>
    <n v="50"/>
    <x v="2"/>
    <x v="0"/>
    <x v="2"/>
    <x v="0"/>
  </r>
  <r>
    <n v="676"/>
    <s v="5b722effbfb77d14812b8c2c"/>
    <n v="2"/>
    <x v="92"/>
    <n v="100"/>
    <n v="4.1479999999999997"/>
    <n v="3588"/>
    <n v="16"/>
    <n v="14"/>
    <n v="-14"/>
    <n v="-14"/>
    <n v="11"/>
    <n v="1"/>
    <n v="50"/>
    <x v="2"/>
    <x v="0"/>
    <x v="1"/>
    <x v="0"/>
  </r>
  <r>
    <n v="677"/>
    <s v="5b0e27596b9302238a10c3f8"/>
    <n v="2"/>
    <x v="92"/>
    <n v="100"/>
    <n v="4.1749999999999998"/>
    <n v="3120"/>
    <n v="11"/>
    <n v="20"/>
    <n v="45"/>
    <n v="45"/>
    <n v="14"/>
    <n v="1"/>
    <n v="50"/>
    <x v="2"/>
    <x v="0"/>
    <x v="3"/>
    <x v="0"/>
  </r>
  <r>
    <n v="678"/>
    <s v="5898240369b8584f668a188b"/>
    <n v="2"/>
    <x v="92"/>
    <n v="100"/>
    <n v="4.1849999999999996"/>
    <n v="14291"/>
    <n v="12.5"/>
    <n v="92.5"/>
    <n v="86"/>
    <n v="85.5"/>
    <n v="89"/>
    <n v="1"/>
    <n v="50"/>
    <x v="2"/>
    <x v="0"/>
    <x v="0"/>
    <x v="0"/>
  </r>
  <r>
    <n v="679"/>
    <s v="59257409b674b15e8191b8de"/>
    <n v="2"/>
    <x v="92"/>
    <n v="100"/>
    <n v="4.2160000000000002"/>
    <n v="139607"/>
    <n v="7"/>
    <n v="6"/>
    <n v="-16"/>
    <n v="-16"/>
    <n v="61"/>
    <n v="1"/>
    <n v="50"/>
    <x v="2"/>
    <x v="0"/>
    <x v="1"/>
    <x v="0"/>
  </r>
  <r>
    <n v="680"/>
    <s v="5d5108577ad24261ddf720f0"/>
    <n v="2"/>
    <x v="92"/>
    <n v="100"/>
    <n v="4.2210000000000001"/>
    <n v="620"/>
    <n v="2"/>
    <n v="2"/>
    <n v="0"/>
    <n v="0"/>
    <n v="34"/>
    <n v="1"/>
    <n v="50"/>
    <x v="2"/>
    <x v="0"/>
    <x v="1"/>
    <x v="0"/>
  </r>
  <r>
    <n v="681"/>
    <s v="59506bd1abea9119a059422d"/>
    <n v="2"/>
    <x v="92"/>
    <n v="100"/>
    <n v="4.2249999999999996"/>
    <n v="9357"/>
    <n v="5"/>
    <n v="127"/>
    <n v="97"/>
    <n v="97"/>
    <n v="19"/>
    <n v="1"/>
    <n v="50"/>
    <x v="2"/>
    <x v="0"/>
    <x v="0"/>
    <x v="0"/>
  </r>
  <r>
    <n v="682"/>
    <s v="58dfa91e42ab0953f96d31d0"/>
    <n v="2"/>
    <x v="92"/>
    <n v="100"/>
    <n v="4.2309999999999999"/>
    <n v="360"/>
    <n v="9.5"/>
    <n v="8.5"/>
    <n v="-12"/>
    <n v="-12"/>
    <n v="17"/>
    <m/>
    <m/>
    <x v="2"/>
    <x v="0"/>
    <x v="1"/>
    <x v="1"/>
  </r>
  <r>
    <n v="683"/>
    <s v="57885a8c090d40723d2105e3"/>
    <n v="2"/>
    <x v="92"/>
    <n v="100"/>
    <n v="4.258"/>
    <n v="4595"/>
    <n v="2.8"/>
    <n v="3"/>
    <n v="7"/>
    <n v="7"/>
    <n v="6"/>
    <n v="1"/>
    <n v="50"/>
    <x v="2"/>
    <x v="0"/>
    <x v="2"/>
    <x v="0"/>
  </r>
  <r>
    <n v="684"/>
    <s v="5ae2d62f2c49564f1df9bbd1"/>
    <n v="2"/>
    <x v="92"/>
    <n v="100"/>
    <n v="4.2770000000000001"/>
    <n v="5070"/>
    <n v="11"/>
    <n v="10"/>
    <n v="-10"/>
    <n v="-10"/>
    <n v="98"/>
    <m/>
    <m/>
    <x v="2"/>
    <x v="0"/>
    <x v="1"/>
    <x v="1"/>
  </r>
  <r>
    <n v="685"/>
    <s v="56c2e30edf108f11548c6dcb"/>
    <n v="2"/>
    <x v="92"/>
    <n v="100"/>
    <n v="4.2910000000000004"/>
    <n v="38100"/>
    <n v="3"/>
    <n v="3"/>
    <n v="0"/>
    <n v="0"/>
    <n v="12"/>
    <n v="1"/>
    <n v="50"/>
    <x v="2"/>
    <x v="0"/>
    <x v="1"/>
    <x v="0"/>
  </r>
  <r>
    <n v="686"/>
    <s v="550ab2be8e8def0b2c654d4b"/>
    <n v="2"/>
    <x v="92"/>
    <n v="100"/>
    <n v="4.3179999999999996"/>
    <n v="6126"/>
    <n v="8"/>
    <n v="7"/>
    <n v="-14"/>
    <n v="-14"/>
    <n v="21"/>
    <n v="1"/>
    <n v="50"/>
    <x v="2"/>
    <x v="0"/>
    <x v="1"/>
    <x v="0"/>
  </r>
  <r>
    <n v="687"/>
    <s v="5e5f6272d0e9af054214467e"/>
    <n v="2"/>
    <x v="92"/>
    <n v="100"/>
    <n v="4.3330000000000002"/>
    <n v="6"/>
    <n v="4.8099999999999996"/>
    <n v="5"/>
    <n v="4"/>
    <n v="4"/>
    <n v="0"/>
    <n v="1"/>
    <n v="50"/>
    <x v="2"/>
    <x v="0"/>
    <x v="2"/>
    <x v="0"/>
  </r>
  <r>
    <n v="688"/>
    <s v="5700b51a0848f73d19d10cbb"/>
    <n v="2"/>
    <x v="92"/>
    <n v="100"/>
    <n v="4.3609999999999998"/>
    <n v="7197"/>
    <n v="11"/>
    <n v="47"/>
    <n v="77"/>
    <n v="77"/>
    <n v="23"/>
    <n v="1"/>
    <n v="50"/>
    <x v="2"/>
    <x v="0"/>
    <x v="0"/>
    <x v="0"/>
  </r>
  <r>
    <n v="689"/>
    <s v="58402f95e24c5b06c6dccd35"/>
    <n v="2"/>
    <x v="92"/>
    <n v="100"/>
    <n v="4.3680000000000003"/>
    <n v="619"/>
    <n v="8"/>
    <n v="7"/>
    <n v="-14"/>
    <n v="-14"/>
    <n v="3"/>
    <n v="1"/>
    <n v="50"/>
    <x v="2"/>
    <x v="0"/>
    <x v="1"/>
    <x v="0"/>
  </r>
  <r>
    <n v="690"/>
    <s v="583beacf24b24f1b805ff7a2"/>
    <n v="2"/>
    <x v="92"/>
    <n v="100"/>
    <n v="4.3899999999999997"/>
    <n v="889"/>
    <n v="8"/>
    <n v="7"/>
    <n v="-14"/>
    <n v="-14"/>
    <n v="28"/>
    <n v="1"/>
    <n v="50"/>
    <x v="2"/>
    <x v="0"/>
    <x v="1"/>
    <x v="0"/>
  </r>
  <r>
    <n v="691"/>
    <s v="582ff4f70299bc4f4b90d203"/>
    <n v="2"/>
    <x v="92"/>
    <n v="100"/>
    <n v="4.4290000000000003"/>
    <n v="3276"/>
    <n v="13"/>
    <n v="15"/>
    <n v="14"/>
    <n v="14"/>
    <n v="55"/>
    <n v="1"/>
    <n v="50"/>
    <x v="2"/>
    <x v="0"/>
    <x v="2"/>
    <x v="0"/>
  </r>
  <r>
    <n v="692"/>
    <s v="58ff6866e17bc0302f540b50"/>
    <n v="2"/>
    <x v="92"/>
    <n v="100"/>
    <n v="4.484"/>
    <n v="5768"/>
    <n v="8"/>
    <n v="7"/>
    <n v="-14"/>
    <n v="-14"/>
    <n v="11"/>
    <m/>
    <m/>
    <x v="2"/>
    <x v="0"/>
    <x v="1"/>
    <x v="1"/>
  </r>
  <r>
    <n v="693"/>
    <s v="5e70afae21861a90a4e6b7f0"/>
    <n v="2"/>
    <x v="92"/>
    <n v="100"/>
    <n v="4.5"/>
    <n v="6"/>
    <n v="12"/>
    <n v="11"/>
    <n v="-9"/>
    <n v="-9"/>
    <n v="0"/>
    <n v="1"/>
    <n v="50"/>
    <x v="2"/>
    <x v="3"/>
    <x v="1"/>
    <x v="0"/>
  </r>
  <r>
    <n v="694"/>
    <s v="5e535f1b397cba44cf1118d8"/>
    <n v="3"/>
    <x v="93"/>
    <n v="50"/>
    <n v="3.7330000000000001"/>
    <n v="30"/>
    <n v="2.89"/>
    <n v="7"/>
    <n v="59"/>
    <n v="59"/>
    <n v="1"/>
    <n v="1"/>
    <n v="33"/>
    <x v="2"/>
    <x v="1"/>
    <x v="0"/>
    <x v="0"/>
  </r>
  <r>
    <n v="695"/>
    <s v="5dda40561fead208515f98e2"/>
    <n v="3"/>
    <x v="93"/>
    <n v="50"/>
    <n v="3.7370000000000001"/>
    <n v="334"/>
    <n v="8"/>
    <n v="7"/>
    <n v="-14"/>
    <n v="-14"/>
    <n v="8"/>
    <n v="1"/>
    <n v="33"/>
    <x v="2"/>
    <x v="1"/>
    <x v="1"/>
    <x v="0"/>
  </r>
  <r>
    <n v="696"/>
    <s v="5e3c5fbfe217d492138970c1"/>
    <n v="3"/>
    <x v="93"/>
    <n v="50"/>
    <n v="3.8250000000000002"/>
    <n v="57"/>
    <n v="4.83"/>
    <n v="51"/>
    <n v="91"/>
    <n v="91"/>
    <n v="1"/>
    <n v="2"/>
    <n v="67"/>
    <x v="2"/>
    <x v="1"/>
    <x v="0"/>
    <x v="0"/>
  </r>
  <r>
    <n v="697"/>
    <s v="5a2fa9ce6ea4a770c66f5599"/>
    <n v="3"/>
    <x v="93"/>
    <n v="50"/>
    <n v="4.0590000000000002"/>
    <n v="1374"/>
    <n v="6"/>
    <n v="7"/>
    <n v="15"/>
    <n v="15"/>
    <n v="3"/>
    <n v="1"/>
    <n v="33"/>
    <x v="2"/>
    <x v="0"/>
    <x v="2"/>
    <x v="0"/>
  </r>
  <r>
    <n v="698"/>
    <s v="5d4bbed57ad242352a46d910"/>
    <n v="3"/>
    <x v="93"/>
    <n v="50"/>
    <n v="4.3529999999999998"/>
    <n v="34"/>
    <n v="7"/>
    <n v="6"/>
    <n v="-16"/>
    <n v="-16"/>
    <n v="4"/>
    <n v="1"/>
    <n v="33"/>
    <x v="2"/>
    <x v="0"/>
    <x v="1"/>
    <x v="0"/>
  </r>
  <r>
    <n v="699"/>
    <s v="5d454f4056a26067881bb903"/>
    <n v="2"/>
    <x v="93"/>
    <n v="75"/>
    <n v="3.8919999999999999"/>
    <n v="268"/>
    <n v="3.83"/>
    <n v="3.5"/>
    <n v="-8"/>
    <n v="-8"/>
    <n v="8"/>
    <n v="1"/>
    <n v="50"/>
    <x v="2"/>
    <x v="1"/>
    <x v="1"/>
    <x v="0"/>
  </r>
  <r>
    <n v="700"/>
    <s v="56c94ae6df108f5af83b1e0f"/>
    <n v="2"/>
    <x v="93"/>
    <n v="75"/>
    <n v="3.9430000000000001"/>
    <n v="7248"/>
    <n v="1.93"/>
    <n v="8.5"/>
    <n v="78"/>
    <n v="77.5"/>
    <n v="25"/>
    <n v="2"/>
    <n v="100"/>
    <x v="2"/>
    <x v="1"/>
    <x v="0"/>
    <x v="0"/>
  </r>
  <r>
    <n v="701"/>
    <s v="5e72dc545021d6138b405bdc"/>
    <n v="2"/>
    <x v="93"/>
    <n v="75"/>
    <n v="4.1849999999999996"/>
    <n v="54"/>
    <n v="11.5"/>
    <n v="88.5"/>
    <n v="88"/>
    <n v="87.5"/>
    <n v="11"/>
    <m/>
    <m/>
    <x v="2"/>
    <x v="0"/>
    <x v="0"/>
    <x v="1"/>
  </r>
  <r>
    <n v="702"/>
    <s v="5d464a1ffdf7bc44ee933c65"/>
    <n v="3"/>
    <x v="94"/>
    <n v="40"/>
    <n v="3.99"/>
    <n v="295"/>
    <n v="6"/>
    <n v="48.33"/>
    <n v="88"/>
    <n v="88"/>
    <n v="5"/>
    <n v="1"/>
    <n v="33"/>
    <x v="2"/>
    <x v="1"/>
    <x v="0"/>
    <x v="0"/>
  </r>
  <r>
    <n v="703"/>
    <s v="56a9df1b3a698c526f769805"/>
    <n v="2"/>
    <x v="95"/>
    <n v="52"/>
    <n v="4.2519999999999998"/>
    <n v="4150"/>
    <n v="10"/>
    <n v="12.5"/>
    <n v="25"/>
    <n v="25"/>
    <n v="6"/>
    <m/>
    <m/>
    <x v="2"/>
    <x v="0"/>
    <x v="2"/>
    <x v="1"/>
  </r>
  <r>
    <n v="704"/>
    <s v="5e8d923d20c9b7545017f1f9"/>
    <n v="1"/>
    <x v="96"/>
    <n v="100"/>
    <n v="2.9409999999999998"/>
    <n v="17"/>
    <n v="11"/>
    <n v="50"/>
    <n v="78"/>
    <n v="78"/>
    <n v="9"/>
    <m/>
    <m/>
    <x v="2"/>
    <x v="2"/>
    <x v="0"/>
    <x v="1"/>
  </r>
  <r>
    <n v="705"/>
    <s v="5e6cb9806bab2075b2b64d15"/>
    <n v="1"/>
    <x v="96"/>
    <n v="100"/>
    <n v="3"/>
    <n v="3"/>
    <n v="12"/>
    <n v="11"/>
    <n v="-9"/>
    <n v="-9"/>
    <n v="1"/>
    <m/>
    <m/>
    <x v="2"/>
    <x v="2"/>
    <x v="1"/>
    <x v="1"/>
  </r>
  <r>
    <n v="706"/>
    <s v="5e8c98966642021100f8db13"/>
    <n v="1"/>
    <x v="96"/>
    <n v="100"/>
    <n v="3.0339999999999998"/>
    <n v="29"/>
    <n v="12"/>
    <n v="75"/>
    <n v="84"/>
    <n v="84"/>
    <n v="28"/>
    <m/>
    <m/>
    <x v="2"/>
    <x v="2"/>
    <x v="0"/>
    <x v="1"/>
  </r>
  <r>
    <n v="707"/>
    <s v="5e537a4038654d5bb8db71b4"/>
    <n v="1"/>
    <x v="96"/>
    <n v="100"/>
    <n v="3.0390000000000001"/>
    <n v="231"/>
    <n v="5"/>
    <n v="5"/>
    <n v="0"/>
    <n v="0"/>
    <n v="6"/>
    <m/>
    <m/>
    <x v="2"/>
    <x v="2"/>
    <x v="1"/>
    <x v="1"/>
  </r>
  <r>
    <n v="708"/>
    <s v="5e61cd4b97cc101bd3066216"/>
    <n v="1"/>
    <x v="96"/>
    <n v="100"/>
    <n v="3.25"/>
    <n v="64"/>
    <n v="20"/>
    <n v="17"/>
    <n v="-17"/>
    <n v="-17"/>
    <n v="60"/>
    <m/>
    <m/>
    <x v="2"/>
    <x v="2"/>
    <x v="1"/>
    <x v="1"/>
  </r>
  <r>
    <n v="709"/>
    <s v="5e64b92e00ff3743cf8f3c3d"/>
    <n v="1"/>
    <x v="96"/>
    <n v="100"/>
    <n v="3.2989999999999999"/>
    <n v="67"/>
    <n v="20"/>
    <n v="17"/>
    <n v="-17"/>
    <n v="-17"/>
    <n v="15"/>
    <m/>
    <m/>
    <x v="2"/>
    <x v="2"/>
    <x v="1"/>
    <x v="1"/>
  </r>
  <r>
    <n v="710"/>
    <s v="5e9c44cdf5b57cfb27118f62"/>
    <n v="1"/>
    <x v="96"/>
    <n v="100"/>
    <n v="3.3380000000000001"/>
    <n v="269"/>
    <n v="3.66"/>
    <n v="26"/>
    <n v="86"/>
    <n v="86"/>
    <n v="10"/>
    <m/>
    <m/>
    <x v="2"/>
    <x v="2"/>
    <x v="0"/>
    <x v="1"/>
  </r>
  <r>
    <n v="711"/>
    <s v="5dc818ca030a154e48a3a8af"/>
    <n v="1"/>
    <x v="96"/>
    <n v="100"/>
    <n v="3.367"/>
    <n v="572"/>
    <n v="16"/>
    <n v="14"/>
    <n v="-14"/>
    <n v="-14"/>
    <n v="27"/>
    <m/>
    <m/>
    <x v="2"/>
    <x v="2"/>
    <x v="1"/>
    <x v="1"/>
  </r>
  <r>
    <n v="712"/>
    <s v="5e675a4b48763f1940d6ab3b"/>
    <n v="1"/>
    <x v="96"/>
    <n v="100"/>
    <n v="3.4180000000000001"/>
    <n v="79"/>
    <n v="16"/>
    <n v="22"/>
    <n v="28"/>
    <n v="28"/>
    <n v="72"/>
    <m/>
    <m/>
    <x v="2"/>
    <x v="2"/>
    <x v="3"/>
    <x v="1"/>
  </r>
  <r>
    <n v="713"/>
    <s v="5dea1af2efc6ec06d5c16dd3"/>
    <n v="1"/>
    <x v="96"/>
    <n v="100"/>
    <n v="3.423"/>
    <n v="71"/>
    <n v="2"/>
    <n v="4"/>
    <n v="50"/>
    <n v="50"/>
    <n v="30"/>
    <m/>
    <m/>
    <x v="2"/>
    <x v="2"/>
    <x v="3"/>
    <x v="1"/>
  </r>
  <r>
    <n v="714"/>
    <s v="5e1691b573bfb90406044928"/>
    <n v="1"/>
    <x v="96"/>
    <n v="100"/>
    <n v="3.4740000000000002"/>
    <n v="38"/>
    <n v="13"/>
    <n v="11"/>
    <n v="-18"/>
    <n v="-18"/>
    <n v="11"/>
    <m/>
    <m/>
    <x v="2"/>
    <x v="2"/>
    <x v="1"/>
    <x v="1"/>
  </r>
  <r>
    <n v="715"/>
    <s v="5e0474f81b1677050990d11b"/>
    <n v="1"/>
    <x v="96"/>
    <n v="100"/>
    <n v="3.5139999999999998"/>
    <n v="70"/>
    <n v="8"/>
    <n v="76"/>
    <n v="90"/>
    <n v="90"/>
    <n v="11"/>
    <n v="1"/>
    <n v="100"/>
    <x v="2"/>
    <x v="1"/>
    <x v="0"/>
    <x v="0"/>
  </r>
  <r>
    <n v="716"/>
    <s v="5c749805a0e25747655033ac"/>
    <n v="1"/>
    <x v="96"/>
    <n v="100"/>
    <n v="3.5449999999999999"/>
    <n v="99"/>
    <n v="11"/>
    <n v="10"/>
    <n v="-10"/>
    <n v="-10"/>
    <n v="26"/>
    <m/>
    <m/>
    <x v="2"/>
    <x v="1"/>
    <x v="1"/>
    <x v="1"/>
  </r>
  <r>
    <n v="717"/>
    <s v="5e536247397cba46c3111a39"/>
    <n v="1"/>
    <x v="96"/>
    <n v="100"/>
    <n v="3.5569999999999999"/>
    <n v="88"/>
    <n v="11"/>
    <n v="10"/>
    <n v="-10"/>
    <n v="-10"/>
    <n v="89"/>
    <m/>
    <m/>
    <x v="2"/>
    <x v="1"/>
    <x v="1"/>
    <x v="1"/>
  </r>
  <r>
    <n v="718"/>
    <s v="5d50f80e3db43e24767edf52"/>
    <n v="1"/>
    <x v="96"/>
    <n v="100"/>
    <n v="3.6110000000000002"/>
    <n v="167"/>
    <n v="2"/>
    <n v="25"/>
    <n v="92"/>
    <n v="92"/>
    <n v="58"/>
    <m/>
    <m/>
    <x v="2"/>
    <x v="1"/>
    <x v="0"/>
    <x v="1"/>
  </r>
  <r>
    <n v="719"/>
    <s v="5dbe8b3a0140ee444c50ec2b"/>
    <n v="1"/>
    <x v="96"/>
    <n v="100"/>
    <n v="3.625"/>
    <n v="24"/>
    <n v="7"/>
    <n v="6"/>
    <n v="-16"/>
    <n v="-16"/>
    <n v="20"/>
    <m/>
    <m/>
    <x v="2"/>
    <x v="1"/>
    <x v="1"/>
    <x v="1"/>
  </r>
  <r>
    <n v="720"/>
    <s v="5e50fecf18034a89e1aeede8"/>
    <n v="1"/>
    <x v="96"/>
    <n v="100"/>
    <n v="3.6459999999999999"/>
    <n v="99"/>
    <n v="6"/>
    <n v="26"/>
    <n v="77"/>
    <n v="77"/>
    <n v="12"/>
    <n v="1"/>
    <n v="100"/>
    <x v="2"/>
    <x v="1"/>
    <x v="0"/>
    <x v="0"/>
  </r>
  <r>
    <n v="721"/>
    <s v="5b0a66907752c8567c3cc671"/>
    <n v="1"/>
    <x v="96"/>
    <n v="100"/>
    <n v="3.6509999999999998"/>
    <n v="1078"/>
    <n v="9"/>
    <n v="10"/>
    <n v="10"/>
    <n v="10"/>
    <n v="51"/>
    <m/>
    <m/>
    <x v="2"/>
    <x v="1"/>
    <x v="2"/>
    <x v="1"/>
  </r>
  <r>
    <n v="722"/>
    <s v="5eb4be68dda5360c58501b42"/>
    <n v="1"/>
    <x v="96"/>
    <n v="100"/>
    <n v="3.6829999999999998"/>
    <n v="290"/>
    <n v="8"/>
    <n v="10"/>
    <n v="20"/>
    <n v="20"/>
    <n v="18"/>
    <m/>
    <m/>
    <x v="2"/>
    <x v="1"/>
    <x v="2"/>
    <x v="1"/>
  </r>
  <r>
    <n v="723"/>
    <s v="5c7dee45a0e257512a5dd7f0"/>
    <n v="1"/>
    <x v="96"/>
    <n v="100"/>
    <n v="3.6890000000000001"/>
    <n v="103"/>
    <n v="11"/>
    <n v="10"/>
    <n v="-10"/>
    <n v="-10"/>
    <n v="39"/>
    <m/>
    <m/>
    <x v="2"/>
    <x v="1"/>
    <x v="1"/>
    <x v="1"/>
  </r>
  <r>
    <n v="724"/>
    <s v="5448789898dc205017838a33"/>
    <n v="1"/>
    <x v="96"/>
    <n v="100"/>
    <n v="3.6970000000000001"/>
    <n v="10286"/>
    <n v="11"/>
    <n v="10"/>
    <n v="-10"/>
    <n v="-10"/>
    <n v="4"/>
    <m/>
    <m/>
    <x v="2"/>
    <x v="1"/>
    <x v="1"/>
    <x v="1"/>
  </r>
  <r>
    <n v="725"/>
    <s v="5d44cb7ea5f07b2d00607909"/>
    <n v="1"/>
    <x v="96"/>
    <n v="100"/>
    <n v="3.7080000000000002"/>
    <n v="849"/>
    <n v="14"/>
    <n v="84"/>
    <n v="84"/>
    <n v="84"/>
    <n v="60"/>
    <m/>
    <m/>
    <x v="2"/>
    <x v="1"/>
    <x v="0"/>
    <x v="1"/>
  </r>
  <r>
    <n v="726"/>
    <s v="5e6d18bceb2b33bdc975950f"/>
    <n v="1"/>
    <x v="96"/>
    <n v="100"/>
    <n v="3.714"/>
    <n v="49"/>
    <n v="9"/>
    <n v="56"/>
    <n v="84"/>
    <n v="84"/>
    <n v="30"/>
    <m/>
    <m/>
    <x v="2"/>
    <x v="1"/>
    <x v="0"/>
    <x v="1"/>
  </r>
  <r>
    <n v="727"/>
    <s v="5d463c87c77e983f28b4dfca"/>
    <n v="1"/>
    <x v="96"/>
    <n v="100"/>
    <n v="3.7210000000000001"/>
    <n v="104"/>
    <n v="5.79"/>
    <n v="9"/>
    <n v="36"/>
    <n v="36"/>
    <n v="53"/>
    <m/>
    <m/>
    <x v="2"/>
    <x v="1"/>
    <x v="3"/>
    <x v="1"/>
  </r>
  <r>
    <n v="728"/>
    <s v="5e3683005ba64b1957b798cc"/>
    <n v="1"/>
    <x v="96"/>
    <n v="100"/>
    <n v="3.762"/>
    <n v="151"/>
    <n v="14"/>
    <n v="104"/>
    <n v="87"/>
    <n v="87"/>
    <n v="71"/>
    <m/>
    <m/>
    <x v="2"/>
    <x v="1"/>
    <x v="0"/>
    <x v="1"/>
  </r>
  <r>
    <n v="729"/>
    <s v="5b3b135e38e2640b28a557bb"/>
    <n v="1"/>
    <x v="96"/>
    <n v="100"/>
    <n v="3.7730000000000001"/>
    <n v="5595"/>
    <n v="8"/>
    <n v="7"/>
    <n v="-14"/>
    <n v="-14"/>
    <n v="63"/>
    <m/>
    <m/>
    <x v="2"/>
    <x v="1"/>
    <x v="1"/>
    <x v="1"/>
  </r>
  <r>
    <n v="730"/>
    <s v="5dc682d24b0ae7154300d493"/>
    <n v="1"/>
    <x v="96"/>
    <n v="100"/>
    <n v="3.7730000000000001"/>
    <n v="44"/>
    <n v="7"/>
    <n v="6"/>
    <n v="-16"/>
    <n v="-16"/>
    <n v="21"/>
    <m/>
    <m/>
    <x v="2"/>
    <x v="1"/>
    <x v="1"/>
    <x v="1"/>
  </r>
  <r>
    <n v="731"/>
    <s v="59510a44905fdb0b8266ddc5"/>
    <n v="1"/>
    <x v="96"/>
    <n v="100"/>
    <n v="3.774"/>
    <n v="3245"/>
    <n v="6"/>
    <n v="11"/>
    <n v="46"/>
    <n v="46"/>
    <n v="35"/>
    <m/>
    <m/>
    <x v="2"/>
    <x v="1"/>
    <x v="3"/>
    <x v="1"/>
  </r>
  <r>
    <n v="732"/>
    <s v="5d41a75de13a7e2059f79277"/>
    <n v="1"/>
    <x v="96"/>
    <n v="100"/>
    <n v="3.7749999999999999"/>
    <n v="111"/>
    <n v="13"/>
    <n v="56"/>
    <n v="77"/>
    <n v="77"/>
    <n v="20"/>
    <m/>
    <m/>
    <x v="2"/>
    <x v="1"/>
    <x v="0"/>
    <x v="1"/>
  </r>
  <r>
    <n v="733"/>
    <s v="5eba4de229e78603182870c3"/>
    <n v="1"/>
    <x v="96"/>
    <n v="100"/>
    <n v="3.7759999999999998"/>
    <n v="116"/>
    <n v="6"/>
    <n v="6"/>
    <n v="0"/>
    <n v="0"/>
    <n v="18"/>
    <m/>
    <m/>
    <x v="2"/>
    <x v="1"/>
    <x v="1"/>
    <x v="1"/>
  </r>
  <r>
    <n v="734"/>
    <s v="5d5cf8ff2736783681e22991"/>
    <n v="1"/>
    <x v="96"/>
    <n v="100"/>
    <n v="3.7789999999999999"/>
    <n v="263"/>
    <n v="7"/>
    <n v="84"/>
    <n v="92"/>
    <n v="92"/>
    <n v="46"/>
    <m/>
    <m/>
    <x v="2"/>
    <x v="1"/>
    <x v="0"/>
    <x v="1"/>
  </r>
  <r>
    <n v="735"/>
    <s v="5d42980e8388970d32294ddc"/>
    <n v="1"/>
    <x v="96"/>
    <n v="100"/>
    <n v="3.8029999999999999"/>
    <n v="330"/>
    <n v="11"/>
    <n v="84"/>
    <n v="87"/>
    <n v="87"/>
    <n v="15"/>
    <n v="1"/>
    <n v="100"/>
    <x v="2"/>
    <x v="1"/>
    <x v="0"/>
    <x v="0"/>
  </r>
  <r>
    <n v="736"/>
    <s v="5dcf512a97383300d357ad69"/>
    <n v="1"/>
    <x v="96"/>
    <n v="100"/>
    <n v="3.8149999999999999"/>
    <n v="610"/>
    <n v="8"/>
    <n v="7"/>
    <n v="-14"/>
    <n v="-14"/>
    <n v="7"/>
    <m/>
    <m/>
    <x v="2"/>
    <x v="1"/>
    <x v="1"/>
    <x v="1"/>
  </r>
  <r>
    <n v="737"/>
    <s v="5ddd1355801ecf0a803b6c3a"/>
    <n v="1"/>
    <x v="96"/>
    <n v="100"/>
    <n v="3.827"/>
    <n v="75"/>
    <n v="7"/>
    <n v="6"/>
    <n v="-16"/>
    <n v="-16"/>
    <n v="18"/>
    <n v="1"/>
    <n v="100"/>
    <x v="2"/>
    <x v="1"/>
    <x v="1"/>
    <x v="0"/>
  </r>
  <r>
    <n v="738"/>
    <s v="57ee5f0025e7c00ffe3f000c"/>
    <n v="1"/>
    <x v="96"/>
    <n v="100"/>
    <n v="3.8290000000000002"/>
    <n v="37753"/>
    <n v="16"/>
    <n v="18"/>
    <n v="12"/>
    <n v="12"/>
    <n v="69"/>
    <m/>
    <m/>
    <x v="2"/>
    <x v="1"/>
    <x v="2"/>
    <x v="1"/>
  </r>
  <r>
    <n v="739"/>
    <s v="5d51381f933fb16c06bb9d71"/>
    <n v="1"/>
    <x v="96"/>
    <n v="100"/>
    <n v="3.8330000000000002"/>
    <n v="1129"/>
    <n v="5.66"/>
    <n v="5"/>
    <n v="-13"/>
    <n v="-13"/>
    <n v="27"/>
    <m/>
    <m/>
    <x v="2"/>
    <x v="1"/>
    <x v="1"/>
    <x v="1"/>
  </r>
  <r>
    <n v="740"/>
    <s v="5d5abf5b33f0b44411c05032"/>
    <n v="1"/>
    <x v="96"/>
    <n v="100"/>
    <n v="3.8380000000000001"/>
    <n v="198"/>
    <n v="8"/>
    <n v="7"/>
    <n v="-14"/>
    <n v="-14"/>
    <n v="42"/>
    <m/>
    <m/>
    <x v="2"/>
    <x v="1"/>
    <x v="1"/>
    <x v="1"/>
  </r>
  <r>
    <n v="741"/>
    <s v="5bdbb9048a83b5678f43462b"/>
    <n v="1"/>
    <x v="96"/>
    <n v="100"/>
    <n v="3.851"/>
    <n v="897"/>
    <n v="15"/>
    <n v="28"/>
    <n v="47"/>
    <n v="47"/>
    <n v="69"/>
    <m/>
    <m/>
    <x v="2"/>
    <x v="1"/>
    <x v="3"/>
    <x v="1"/>
  </r>
  <r>
    <n v="742"/>
    <s v="550bed073fca100d87116858"/>
    <n v="1"/>
    <x v="96"/>
    <n v="100"/>
    <n v="3.8559999999999999"/>
    <n v="277"/>
    <n v="3.69"/>
    <n v="53"/>
    <n v="94"/>
    <n v="94"/>
    <n v="11"/>
    <m/>
    <m/>
    <x v="2"/>
    <x v="1"/>
    <x v="0"/>
    <x v="1"/>
  </r>
  <r>
    <n v="743"/>
    <s v="5609de679b11090d3bafce69"/>
    <n v="1"/>
    <x v="96"/>
    <n v="100"/>
    <n v="3.8570000000000002"/>
    <n v="7602"/>
    <n v="7"/>
    <n v="81"/>
    <n v="92"/>
    <n v="92"/>
    <n v="23"/>
    <m/>
    <m/>
    <x v="2"/>
    <x v="1"/>
    <x v="0"/>
    <x v="1"/>
  </r>
  <r>
    <n v="744"/>
    <s v="58529ee7e788116a53cbe2a9"/>
    <n v="1"/>
    <x v="96"/>
    <n v="100"/>
    <n v="3.8639999999999999"/>
    <n v="1022"/>
    <n v="13"/>
    <n v="26"/>
    <n v="50"/>
    <n v="50"/>
    <n v="37"/>
    <m/>
    <m/>
    <x v="2"/>
    <x v="1"/>
    <x v="3"/>
    <x v="1"/>
  </r>
  <r>
    <n v="745"/>
    <s v="55a641ddfa6d460ba65ce3b8"/>
    <n v="1"/>
    <x v="96"/>
    <n v="100"/>
    <n v="3.871"/>
    <n v="58154"/>
    <n v="8"/>
    <n v="59"/>
    <n v="87"/>
    <n v="87"/>
    <n v="45"/>
    <m/>
    <m/>
    <x v="2"/>
    <x v="1"/>
    <x v="0"/>
    <x v="1"/>
  </r>
  <r>
    <n v="746"/>
    <s v="583d7475269aad1da3dc2294"/>
    <n v="1"/>
    <x v="96"/>
    <n v="100"/>
    <n v="3.8769999999999998"/>
    <n v="50593"/>
    <n v="8"/>
    <n v="22"/>
    <n v="64"/>
    <n v="64"/>
    <n v="47"/>
    <m/>
    <m/>
    <x v="2"/>
    <x v="1"/>
    <x v="0"/>
    <x v="1"/>
  </r>
  <r>
    <n v="747"/>
    <s v="583d245d0d44637eb04d1c8f"/>
    <n v="1"/>
    <x v="96"/>
    <n v="100"/>
    <n v="3.89"/>
    <n v="17612"/>
    <n v="5"/>
    <n v="75"/>
    <n v="94"/>
    <n v="94"/>
    <n v="15"/>
    <n v="1"/>
    <n v="100"/>
    <x v="2"/>
    <x v="1"/>
    <x v="0"/>
    <x v="0"/>
  </r>
  <r>
    <n v="748"/>
    <s v="583155a70d446310bcfe9f52"/>
    <n v="1"/>
    <x v="96"/>
    <n v="100"/>
    <n v="3.891"/>
    <n v="26018"/>
    <n v="5"/>
    <n v="9"/>
    <n v="45"/>
    <n v="45"/>
    <n v="13"/>
    <m/>
    <m/>
    <x v="2"/>
    <x v="1"/>
    <x v="3"/>
    <x v="1"/>
  </r>
  <r>
    <n v="749"/>
    <s v="5eb8b5ebac21070efaf91c99"/>
    <n v="1"/>
    <x v="96"/>
    <n v="100"/>
    <n v="3.8929999999999998"/>
    <n v="224"/>
    <n v="8"/>
    <n v="10"/>
    <n v="20"/>
    <n v="20"/>
    <n v="7"/>
    <m/>
    <m/>
    <x v="2"/>
    <x v="1"/>
    <x v="2"/>
    <x v="1"/>
  </r>
  <r>
    <n v="750"/>
    <s v="547bfcda3dabbe37af5818b1"/>
    <n v="1"/>
    <x v="96"/>
    <n v="100"/>
    <n v="3.8969999999999998"/>
    <n v="2988"/>
    <n v="6"/>
    <n v="6"/>
    <n v="0"/>
    <n v="0"/>
    <n v="15"/>
    <m/>
    <m/>
    <x v="2"/>
    <x v="1"/>
    <x v="1"/>
    <x v="1"/>
  </r>
  <r>
    <n v="751"/>
    <s v="5eb8e443cefdd67ac09f93ca"/>
    <n v="1"/>
    <x v="96"/>
    <n v="100"/>
    <n v="3.8969999999999998"/>
    <n v="107"/>
    <n v="8"/>
    <n v="7"/>
    <n v="-14"/>
    <n v="-14"/>
    <n v="23"/>
    <n v="1"/>
    <n v="100"/>
    <x v="2"/>
    <x v="1"/>
    <x v="1"/>
    <x v="0"/>
  </r>
  <r>
    <n v="752"/>
    <s v="58a6f41a96f1bb57840b0ed4"/>
    <n v="1"/>
    <x v="96"/>
    <n v="100"/>
    <n v="3.8980000000000001"/>
    <n v="16885"/>
    <n v="14"/>
    <n v="51"/>
    <n v="73"/>
    <n v="73"/>
    <n v="36"/>
    <m/>
    <m/>
    <x v="2"/>
    <x v="1"/>
    <x v="0"/>
    <x v="1"/>
  </r>
  <r>
    <n v="753"/>
    <s v="5d5e064b560eca4814b2bb74"/>
    <n v="1"/>
    <x v="96"/>
    <n v="100"/>
    <n v="3.899"/>
    <n v="1373"/>
    <n v="5.72"/>
    <n v="9"/>
    <n v="37"/>
    <n v="37"/>
    <n v="4"/>
    <m/>
    <m/>
    <x v="2"/>
    <x v="1"/>
    <x v="3"/>
    <x v="1"/>
  </r>
  <r>
    <n v="754"/>
    <s v="5de7643c8db42003000ba7f1"/>
    <n v="1"/>
    <x v="96"/>
    <n v="100"/>
    <n v="3.9020000000000001"/>
    <n v="173"/>
    <n v="8"/>
    <n v="85"/>
    <n v="91"/>
    <n v="91"/>
    <n v="14"/>
    <m/>
    <m/>
    <x v="2"/>
    <x v="1"/>
    <x v="0"/>
    <x v="1"/>
  </r>
  <r>
    <n v="755"/>
    <s v="5d46ce1a8388976d8c042c39"/>
    <n v="1"/>
    <x v="96"/>
    <n v="100"/>
    <n v="3.9089999999999998"/>
    <n v="230"/>
    <n v="14"/>
    <n v="25"/>
    <n v="44"/>
    <n v="44"/>
    <n v="50"/>
    <n v="1"/>
    <n v="100"/>
    <x v="2"/>
    <x v="1"/>
    <x v="3"/>
    <x v="0"/>
  </r>
  <r>
    <n v="756"/>
    <s v="58d25a160490dc52e34022e7"/>
    <n v="1"/>
    <x v="96"/>
    <n v="100"/>
    <n v="3.91"/>
    <n v="35679"/>
    <n v="9"/>
    <n v="84"/>
    <n v="90"/>
    <n v="90"/>
    <n v="82"/>
    <m/>
    <m/>
    <x v="2"/>
    <x v="1"/>
    <x v="0"/>
    <x v="1"/>
  </r>
  <r>
    <n v="757"/>
    <s v="56680c90e363a3613607ea61"/>
    <n v="1"/>
    <x v="96"/>
    <n v="100"/>
    <n v="3.9169999999999998"/>
    <n v="41623"/>
    <n v="7"/>
    <n v="33"/>
    <n v="79"/>
    <n v="79"/>
    <n v="8"/>
    <m/>
    <m/>
    <x v="2"/>
    <x v="1"/>
    <x v="0"/>
    <x v="1"/>
  </r>
  <r>
    <n v="758"/>
    <s v="5e5dec4430477e47e6838d5d"/>
    <n v="1"/>
    <x v="96"/>
    <n v="100"/>
    <n v="3.9180000000000001"/>
    <n v="98"/>
    <n v="5"/>
    <n v="5"/>
    <n v="0"/>
    <n v="0"/>
    <n v="25"/>
    <n v="1"/>
    <n v="100"/>
    <x v="2"/>
    <x v="1"/>
    <x v="1"/>
    <x v="0"/>
  </r>
  <r>
    <n v="759"/>
    <s v="55dc3dcd8950c811f73a48a4"/>
    <n v="1"/>
    <x v="96"/>
    <n v="100"/>
    <n v="3.9209999999999998"/>
    <n v="16741"/>
    <n v="5.8"/>
    <n v="8"/>
    <n v="28"/>
    <n v="28"/>
    <n v="6"/>
    <m/>
    <m/>
    <x v="2"/>
    <x v="1"/>
    <x v="3"/>
    <x v="1"/>
  </r>
  <r>
    <n v="760"/>
    <s v="5b3ed8fa22856f198f7f0a88"/>
    <n v="1"/>
    <x v="96"/>
    <n v="100"/>
    <n v="3.923"/>
    <n v="1643"/>
    <n v="14"/>
    <n v="12"/>
    <n v="-16"/>
    <n v="-16"/>
    <n v="20"/>
    <n v="1"/>
    <n v="100"/>
    <x v="2"/>
    <x v="1"/>
    <x v="1"/>
    <x v="0"/>
  </r>
  <r>
    <n v="761"/>
    <s v="5aacd6c1ccf0c83e5a6f3de0"/>
    <n v="1"/>
    <x v="96"/>
    <n v="100"/>
    <n v="3.9289999999999998"/>
    <n v="3897"/>
    <n v="6"/>
    <n v="34"/>
    <n v="83"/>
    <n v="83"/>
    <n v="10"/>
    <m/>
    <m/>
    <x v="2"/>
    <x v="1"/>
    <x v="0"/>
    <x v="1"/>
  </r>
  <r>
    <n v="762"/>
    <s v="57b17fcc4249277b5ad99206"/>
    <n v="1"/>
    <x v="96"/>
    <n v="100"/>
    <n v="3.931"/>
    <n v="23161"/>
    <n v="6"/>
    <n v="6"/>
    <n v="0"/>
    <n v="0"/>
    <n v="55"/>
    <m/>
    <m/>
    <x v="2"/>
    <x v="1"/>
    <x v="1"/>
    <x v="1"/>
  </r>
  <r>
    <n v="763"/>
    <s v="546415e89719cd2ac2e20045"/>
    <n v="1"/>
    <x v="96"/>
    <n v="100"/>
    <n v="3.931"/>
    <n v="2776"/>
    <n v="6"/>
    <n v="20"/>
    <n v="70"/>
    <n v="70"/>
    <n v="13"/>
    <m/>
    <m/>
    <x v="2"/>
    <x v="1"/>
    <x v="0"/>
    <x v="1"/>
  </r>
  <r>
    <n v="764"/>
    <s v="5eb50b2237d7ba4abca6250a"/>
    <n v="1"/>
    <x v="96"/>
    <n v="100"/>
    <n v="3.9319999999999999"/>
    <n v="88"/>
    <n v="8"/>
    <n v="7"/>
    <n v="-14"/>
    <n v="-14"/>
    <n v="10"/>
    <m/>
    <m/>
    <x v="2"/>
    <x v="1"/>
    <x v="1"/>
    <x v="1"/>
  </r>
  <r>
    <n v="765"/>
    <s v="58f8681a29867d1118cb0964"/>
    <n v="1"/>
    <x v="96"/>
    <n v="100"/>
    <n v="3.9340000000000002"/>
    <n v="1770"/>
    <n v="12"/>
    <n v="11"/>
    <n v="-9"/>
    <n v="-9"/>
    <n v="11"/>
    <m/>
    <m/>
    <x v="2"/>
    <x v="1"/>
    <x v="1"/>
    <x v="1"/>
  </r>
  <r>
    <n v="766"/>
    <s v="58ef5b480d27561215655a9c"/>
    <n v="1"/>
    <x v="96"/>
    <n v="100"/>
    <n v="3.9369999999999998"/>
    <n v="4572"/>
    <n v="4"/>
    <n v="4"/>
    <n v="0"/>
    <n v="0"/>
    <n v="24"/>
    <n v="1"/>
    <n v="100"/>
    <x v="2"/>
    <x v="1"/>
    <x v="1"/>
    <x v="0"/>
  </r>
  <r>
    <n v="767"/>
    <s v="5d4a55b21d9a8e4a02843479"/>
    <n v="1"/>
    <x v="96"/>
    <n v="100"/>
    <n v="3.9449999999999998"/>
    <n v="613"/>
    <n v="3.81"/>
    <n v="25"/>
    <n v="85"/>
    <n v="85"/>
    <n v="25"/>
    <m/>
    <m/>
    <x v="2"/>
    <x v="1"/>
    <x v="0"/>
    <x v="1"/>
  </r>
  <r>
    <n v="768"/>
    <s v="5b8f992a2eb51f465ffd388d"/>
    <n v="1"/>
    <x v="96"/>
    <n v="100"/>
    <n v="3.9449999999999998"/>
    <n v="5988"/>
    <n v="9"/>
    <n v="8"/>
    <n v="-12"/>
    <n v="-12"/>
    <n v="8"/>
    <m/>
    <m/>
    <x v="2"/>
    <x v="1"/>
    <x v="1"/>
    <x v="1"/>
  </r>
  <r>
    <n v="769"/>
    <s v="5684e1234c2cc826ab5ca438"/>
    <n v="1"/>
    <x v="96"/>
    <n v="100"/>
    <n v="3.9489999999999998"/>
    <n v="27964"/>
    <n v="11"/>
    <n v="13"/>
    <n v="16"/>
    <n v="16"/>
    <n v="46"/>
    <m/>
    <m/>
    <x v="2"/>
    <x v="1"/>
    <x v="2"/>
    <x v="1"/>
  </r>
  <r>
    <n v="770"/>
    <s v="5541ba455252290c0b225b1f"/>
    <n v="1"/>
    <x v="96"/>
    <n v="100"/>
    <n v="3.95"/>
    <n v="27764"/>
    <n v="13"/>
    <n v="25"/>
    <n v="48"/>
    <n v="48"/>
    <n v="79"/>
    <n v="1"/>
    <n v="100"/>
    <x v="2"/>
    <x v="1"/>
    <x v="3"/>
    <x v="0"/>
  </r>
  <r>
    <n v="771"/>
    <s v="5b767f37f54e4f1434671cc8"/>
    <n v="1"/>
    <x v="96"/>
    <n v="100"/>
    <n v="3.952"/>
    <n v="1500"/>
    <n v="3"/>
    <n v="60"/>
    <n v="95"/>
    <n v="95"/>
    <n v="28"/>
    <m/>
    <m/>
    <x v="2"/>
    <x v="1"/>
    <x v="0"/>
    <x v="1"/>
  </r>
  <r>
    <n v="772"/>
    <s v="5498115d653d5121ae5409c9"/>
    <n v="1"/>
    <x v="96"/>
    <n v="100"/>
    <n v="3.9529999999999998"/>
    <n v="11030"/>
    <n v="8"/>
    <n v="30"/>
    <n v="74"/>
    <n v="74"/>
    <n v="34"/>
    <n v="1"/>
    <n v="100"/>
    <x v="2"/>
    <x v="1"/>
    <x v="0"/>
    <x v="0"/>
  </r>
  <r>
    <n v="773"/>
    <s v="5a17bb048cf0ed37ca9e18bc"/>
    <n v="1"/>
    <x v="96"/>
    <n v="100"/>
    <n v="3.9550000000000001"/>
    <n v="12016"/>
    <n v="3"/>
    <n v="26"/>
    <n v="89"/>
    <n v="89"/>
    <n v="3"/>
    <m/>
    <m/>
    <x v="2"/>
    <x v="1"/>
    <x v="0"/>
    <x v="1"/>
  </r>
  <r>
    <n v="774"/>
    <s v="5b42da1bf64320209fc8da69"/>
    <n v="1"/>
    <x v="96"/>
    <n v="100"/>
    <n v="3.9620000000000002"/>
    <n v="210"/>
    <n v="5"/>
    <n v="19"/>
    <n v="74"/>
    <n v="74"/>
    <n v="59"/>
    <m/>
    <m/>
    <x v="2"/>
    <x v="1"/>
    <x v="0"/>
    <x v="1"/>
  </r>
  <r>
    <n v="775"/>
    <s v="561df3a23a698c711e5e5efa"/>
    <n v="1"/>
    <x v="96"/>
    <n v="100"/>
    <n v="3.9649999999999999"/>
    <n v="36033"/>
    <n v="8"/>
    <n v="7"/>
    <n v="-14"/>
    <n v="-14"/>
    <n v="19"/>
    <n v="1"/>
    <n v="100"/>
    <x v="2"/>
    <x v="1"/>
    <x v="1"/>
    <x v="0"/>
  </r>
  <r>
    <n v="776"/>
    <s v="5d54bec47ad242761d84984d"/>
    <n v="1"/>
    <x v="96"/>
    <n v="100"/>
    <n v="3.9670000000000001"/>
    <n v="300"/>
    <n v="9"/>
    <n v="8"/>
    <n v="-12"/>
    <n v="-12"/>
    <n v="46"/>
    <m/>
    <m/>
    <x v="2"/>
    <x v="1"/>
    <x v="1"/>
    <x v="1"/>
  </r>
  <r>
    <n v="777"/>
    <s v="5e74810d7f5269411ad93989"/>
    <n v="1"/>
    <x v="96"/>
    <n v="100"/>
    <n v="3.968"/>
    <n v="185"/>
    <n v="1.67"/>
    <n v="2"/>
    <n v="17"/>
    <n v="17"/>
    <n v="32"/>
    <m/>
    <m/>
    <x v="2"/>
    <x v="1"/>
    <x v="2"/>
    <x v="1"/>
  </r>
  <r>
    <n v="778"/>
    <s v="5d46cdb476befe7f781dd1af"/>
    <n v="1"/>
    <x v="96"/>
    <n v="100"/>
    <n v="3.9750000000000001"/>
    <n v="2869"/>
    <n v="9"/>
    <n v="8"/>
    <n v="-12"/>
    <n v="-12"/>
    <n v="31"/>
    <m/>
    <m/>
    <x v="2"/>
    <x v="1"/>
    <x v="1"/>
    <x v="1"/>
  </r>
  <r>
    <n v="779"/>
    <s v="59e5e353ef7b892409c6e6a7"/>
    <n v="1"/>
    <x v="96"/>
    <n v="100"/>
    <n v="3.9750000000000001"/>
    <n v="1284"/>
    <n v="3"/>
    <n v="7"/>
    <n v="58"/>
    <n v="58"/>
    <n v="6"/>
    <m/>
    <m/>
    <x v="2"/>
    <x v="1"/>
    <x v="0"/>
    <x v="1"/>
  </r>
  <r>
    <n v="780"/>
    <s v="5927d9ead7f65462c5a1d409"/>
    <n v="1"/>
    <x v="96"/>
    <n v="100"/>
    <n v="3.9820000000000002"/>
    <n v="901"/>
    <n v="16"/>
    <n v="14"/>
    <n v="-14"/>
    <n v="-14"/>
    <n v="18"/>
    <m/>
    <m/>
    <x v="2"/>
    <x v="1"/>
    <x v="1"/>
    <x v="1"/>
  </r>
  <r>
    <n v="781"/>
    <s v="5d4e5b8415275446cdad4fbb"/>
    <n v="1"/>
    <x v="96"/>
    <n v="100"/>
    <n v="3.988"/>
    <n v="900"/>
    <n v="2.65"/>
    <n v="3"/>
    <n v="12"/>
    <n v="12"/>
    <n v="33"/>
    <m/>
    <m/>
    <x v="2"/>
    <x v="1"/>
    <x v="2"/>
    <x v="1"/>
  </r>
  <r>
    <n v="782"/>
    <s v="5e535edc18034a4651aeecef"/>
    <n v="1"/>
    <x v="96"/>
    <n v="100"/>
    <n v="3.9929999999999999"/>
    <n v="150"/>
    <n v="5.89"/>
    <n v="5"/>
    <n v="-17"/>
    <n v="-17"/>
    <n v="48"/>
    <n v="1"/>
    <n v="100"/>
    <x v="2"/>
    <x v="1"/>
    <x v="1"/>
    <x v="0"/>
  </r>
  <r>
    <n v="783"/>
    <s v="59e071d99fbc517c29711220"/>
    <n v="1"/>
    <x v="96"/>
    <n v="100"/>
    <n v="3.9969999999999999"/>
    <n v="2435"/>
    <n v="16"/>
    <n v="33"/>
    <n v="52"/>
    <n v="52"/>
    <n v="61"/>
    <n v="1"/>
    <n v="100"/>
    <x v="2"/>
    <x v="1"/>
    <x v="0"/>
    <x v="0"/>
  </r>
  <r>
    <n v="784"/>
    <s v="5d4d24b3c8bc521b5568b537"/>
    <n v="1"/>
    <x v="96"/>
    <n v="100"/>
    <n v="4"/>
    <n v="88"/>
    <n v="7"/>
    <n v="17"/>
    <n v="59"/>
    <n v="59"/>
    <n v="27"/>
    <m/>
    <m/>
    <x v="2"/>
    <x v="0"/>
    <x v="0"/>
    <x v="1"/>
  </r>
  <r>
    <n v="785"/>
    <s v="5abbab1d7c27687c3daaad6e"/>
    <n v="1"/>
    <x v="96"/>
    <n v="100"/>
    <n v="4.0010000000000003"/>
    <n v="5301"/>
    <n v="12"/>
    <n v="11"/>
    <n v="-9"/>
    <n v="-9"/>
    <n v="3"/>
    <m/>
    <m/>
    <x v="2"/>
    <x v="0"/>
    <x v="1"/>
    <x v="1"/>
  </r>
  <r>
    <n v="786"/>
    <s v="54869cf344a28275e008fb00"/>
    <n v="1"/>
    <x v="96"/>
    <n v="100"/>
    <n v="4.0010000000000003"/>
    <n v="17222"/>
    <n v="11"/>
    <n v="51"/>
    <n v="79"/>
    <n v="79"/>
    <n v="4"/>
    <m/>
    <m/>
    <x v="2"/>
    <x v="0"/>
    <x v="0"/>
    <x v="1"/>
  </r>
  <r>
    <n v="787"/>
    <s v="5947799a2eac1104f22e4486"/>
    <n v="1"/>
    <x v="96"/>
    <n v="100"/>
    <n v="4.0030000000000001"/>
    <n v="3852"/>
    <n v="5.73"/>
    <n v="5"/>
    <n v="-14"/>
    <n v="-14"/>
    <n v="63"/>
    <m/>
    <m/>
    <x v="2"/>
    <x v="0"/>
    <x v="1"/>
    <x v="1"/>
  </r>
  <r>
    <n v="788"/>
    <s v="5d3d417070327a201bfcd655"/>
    <n v="1"/>
    <x v="96"/>
    <n v="100"/>
    <n v="4.0030000000000001"/>
    <n v="1250"/>
    <n v="1.72"/>
    <n v="2"/>
    <n v="14"/>
    <n v="14"/>
    <n v="13"/>
    <m/>
    <m/>
    <x v="2"/>
    <x v="0"/>
    <x v="2"/>
    <x v="1"/>
  </r>
  <r>
    <n v="789"/>
    <s v="5b18eb98dfc31f2100f4c4cd"/>
    <n v="1"/>
    <x v="96"/>
    <n v="100"/>
    <n v="4.0049999999999999"/>
    <n v="4955"/>
    <n v="8"/>
    <n v="9"/>
    <n v="12"/>
    <n v="12"/>
    <n v="94"/>
    <m/>
    <m/>
    <x v="2"/>
    <x v="0"/>
    <x v="2"/>
    <x v="1"/>
  </r>
  <r>
    <n v="790"/>
    <s v="5acdbf7c9c15ff7191aadd30"/>
    <n v="1"/>
    <x v="96"/>
    <n v="100"/>
    <n v="4.0140000000000002"/>
    <n v="5244"/>
    <n v="12"/>
    <n v="59"/>
    <n v="80"/>
    <n v="80"/>
    <n v="64"/>
    <n v="1"/>
    <n v="100"/>
    <x v="2"/>
    <x v="0"/>
    <x v="0"/>
    <x v="0"/>
  </r>
  <r>
    <n v="791"/>
    <s v="5dbb45d78aabea2d9e97b407"/>
    <n v="1"/>
    <x v="96"/>
    <n v="100"/>
    <n v="4.0149999999999997"/>
    <n v="546"/>
    <n v="11"/>
    <n v="10"/>
    <n v="-10"/>
    <n v="-10"/>
    <n v="12"/>
    <m/>
    <m/>
    <x v="2"/>
    <x v="0"/>
    <x v="1"/>
    <x v="1"/>
  </r>
  <r>
    <n v="792"/>
    <s v="5d415665838897104cf4003d"/>
    <n v="1"/>
    <x v="96"/>
    <n v="100"/>
    <n v="4.0190000000000001"/>
    <n v="746"/>
    <n v="11"/>
    <n v="22"/>
    <n v="50"/>
    <n v="50"/>
    <n v="24"/>
    <m/>
    <m/>
    <x v="2"/>
    <x v="0"/>
    <x v="3"/>
    <x v="1"/>
  </r>
  <r>
    <n v="793"/>
    <s v="5e5c7c2c77179e31406eece1"/>
    <n v="1"/>
    <x v="96"/>
    <n v="100"/>
    <n v="4.0199999999999996"/>
    <n v="196"/>
    <n v="12"/>
    <n v="14"/>
    <n v="15"/>
    <n v="15"/>
    <n v="24"/>
    <m/>
    <m/>
    <x v="2"/>
    <x v="0"/>
    <x v="2"/>
    <x v="1"/>
  </r>
  <r>
    <n v="794"/>
    <s v="5aed66b2f0b75f35a1bd6615"/>
    <n v="1"/>
    <x v="96"/>
    <n v="100"/>
    <n v="4.0229999999999997"/>
    <n v="4402"/>
    <n v="9"/>
    <n v="8"/>
    <n v="-12"/>
    <n v="-12"/>
    <n v="10"/>
    <n v="1"/>
    <n v="100"/>
    <x v="2"/>
    <x v="0"/>
    <x v="1"/>
    <x v="0"/>
  </r>
  <r>
    <n v="795"/>
    <s v="5986cc750ec30f4610ea07be"/>
    <n v="1"/>
    <x v="96"/>
    <n v="100"/>
    <n v="4.024"/>
    <n v="1746"/>
    <n v="11"/>
    <n v="10"/>
    <n v="-10"/>
    <n v="-10"/>
    <n v="22"/>
    <m/>
    <m/>
    <x v="2"/>
    <x v="0"/>
    <x v="1"/>
    <x v="1"/>
  </r>
  <r>
    <n v="796"/>
    <s v="598da748b7717348ffeaf02c"/>
    <n v="1"/>
    <x v="96"/>
    <n v="100"/>
    <n v="4.0279999999999996"/>
    <n v="17002"/>
    <n v="12"/>
    <n v="11"/>
    <n v="-9"/>
    <n v="-9"/>
    <n v="104"/>
    <m/>
    <m/>
    <x v="2"/>
    <x v="0"/>
    <x v="1"/>
    <x v="1"/>
  </r>
  <r>
    <n v="797"/>
    <s v="5dda41a275cf541cc0b6cf99"/>
    <n v="1"/>
    <x v="96"/>
    <n v="100"/>
    <n v="4.03"/>
    <n v="689"/>
    <n v="2"/>
    <n v="2"/>
    <n v="0"/>
    <n v="0"/>
    <n v="58"/>
    <n v="1"/>
    <n v="100"/>
    <x v="2"/>
    <x v="0"/>
    <x v="1"/>
    <x v="0"/>
  </r>
  <r>
    <n v="798"/>
    <s v="588224a5bb3a4a4d5169deb2"/>
    <n v="1"/>
    <x v="96"/>
    <n v="100"/>
    <n v="4.0350000000000001"/>
    <n v="5311"/>
    <n v="11"/>
    <n v="84"/>
    <n v="87"/>
    <n v="87"/>
    <n v="31"/>
    <m/>
    <m/>
    <x v="2"/>
    <x v="0"/>
    <x v="0"/>
    <x v="1"/>
  </r>
  <r>
    <n v="799"/>
    <s v="5a13e07c5d6f342d64b51237"/>
    <n v="1"/>
    <x v="96"/>
    <n v="100"/>
    <n v="4.0389999999999997"/>
    <n v="4836"/>
    <n v="5"/>
    <n v="11"/>
    <n v="55"/>
    <n v="55"/>
    <n v="54"/>
    <m/>
    <m/>
    <x v="2"/>
    <x v="0"/>
    <x v="0"/>
    <x v="1"/>
  </r>
  <r>
    <n v="800"/>
    <s v="583188080d44631041fea370"/>
    <n v="1"/>
    <x v="96"/>
    <n v="100"/>
    <n v="4.04"/>
    <n v="11557"/>
    <n v="8"/>
    <n v="11"/>
    <n v="28"/>
    <n v="28"/>
    <n v="91"/>
    <m/>
    <m/>
    <x v="2"/>
    <x v="0"/>
    <x v="3"/>
    <x v="1"/>
  </r>
  <r>
    <n v="801"/>
    <s v="5b4973b049c8e64e07c31cb4"/>
    <n v="1"/>
    <x v="96"/>
    <n v="100"/>
    <n v="4.0410000000000004"/>
    <n v="267"/>
    <n v="9"/>
    <n v="49"/>
    <n v="82"/>
    <n v="82"/>
    <n v="109"/>
    <m/>
    <m/>
    <x v="2"/>
    <x v="0"/>
    <x v="0"/>
    <x v="1"/>
  </r>
  <r>
    <n v="802"/>
    <s v="59146c0c71a2f21160479ee5"/>
    <n v="1"/>
    <x v="96"/>
    <n v="100"/>
    <n v="4.0439999999999996"/>
    <n v="16726"/>
    <n v="16"/>
    <n v="88"/>
    <n v="82"/>
    <n v="82"/>
    <n v="9"/>
    <m/>
    <m/>
    <x v="2"/>
    <x v="0"/>
    <x v="0"/>
    <x v="1"/>
  </r>
  <r>
    <n v="803"/>
    <s v="5dc3de943710b9143904fdd9"/>
    <n v="1"/>
    <x v="96"/>
    <n v="100"/>
    <n v="4.0449999999999999"/>
    <n v="88"/>
    <n v="8"/>
    <n v="7"/>
    <n v="-14"/>
    <n v="-14"/>
    <n v="15"/>
    <m/>
    <m/>
    <x v="2"/>
    <x v="0"/>
    <x v="1"/>
    <x v="1"/>
  </r>
  <r>
    <n v="804"/>
    <s v="54068c667a9eb466313c6ebf"/>
    <n v="1"/>
    <x v="96"/>
    <n v="100"/>
    <n v="4.0510000000000002"/>
    <n v="102568"/>
    <n v="6"/>
    <n v="7"/>
    <n v="15"/>
    <n v="15"/>
    <n v="2"/>
    <m/>
    <m/>
    <x v="2"/>
    <x v="0"/>
    <x v="2"/>
    <x v="1"/>
  </r>
  <r>
    <n v="805"/>
    <s v="5ba08911269570054ba2b669"/>
    <n v="1"/>
    <x v="96"/>
    <n v="100"/>
    <n v="4.0549999999999997"/>
    <n v="874"/>
    <n v="11"/>
    <n v="26"/>
    <n v="58"/>
    <n v="58"/>
    <n v="12"/>
    <m/>
    <m/>
    <x v="2"/>
    <x v="0"/>
    <x v="0"/>
    <x v="1"/>
  </r>
  <r>
    <n v="806"/>
    <s v="5c6d6c28619caa1d94891d06"/>
    <n v="1"/>
    <x v="96"/>
    <n v="100"/>
    <n v="4.056"/>
    <n v="1086"/>
    <n v="3"/>
    <n v="3"/>
    <n v="0"/>
    <n v="0"/>
    <n v="8"/>
    <n v="1"/>
    <n v="100"/>
    <x v="2"/>
    <x v="0"/>
    <x v="1"/>
    <x v="0"/>
  </r>
  <r>
    <n v="807"/>
    <s v="5d43cb4c4c7855604ee59bbb"/>
    <n v="1"/>
    <x v="96"/>
    <n v="100"/>
    <n v="4.0670000000000002"/>
    <n v="89"/>
    <n v="8"/>
    <n v="7"/>
    <n v="-14"/>
    <n v="-14"/>
    <n v="29"/>
    <m/>
    <m/>
    <x v="2"/>
    <x v="0"/>
    <x v="1"/>
    <x v="1"/>
  </r>
  <r>
    <n v="808"/>
    <s v="55311a071a8a220c1b804371"/>
    <n v="1"/>
    <x v="96"/>
    <n v="100"/>
    <n v="4.07"/>
    <n v="5939"/>
    <n v="9"/>
    <n v="8"/>
    <n v="-12"/>
    <n v="-12"/>
    <n v="51"/>
    <m/>
    <m/>
    <x v="2"/>
    <x v="0"/>
    <x v="1"/>
    <x v="1"/>
  </r>
  <r>
    <n v="809"/>
    <s v="5ac1db0a1c256d3bd25188f4"/>
    <n v="1"/>
    <x v="96"/>
    <n v="100"/>
    <n v="4.077"/>
    <n v="1585"/>
    <n v="8"/>
    <n v="9"/>
    <n v="12"/>
    <n v="12"/>
    <n v="61"/>
    <m/>
    <m/>
    <x v="2"/>
    <x v="0"/>
    <x v="2"/>
    <x v="1"/>
  </r>
  <r>
    <n v="810"/>
    <s v="5b9cc34eb226113590090c59"/>
    <n v="1"/>
    <x v="96"/>
    <n v="100"/>
    <n v="4.0869999999999997"/>
    <n v="7385"/>
    <n v="14"/>
    <n v="26"/>
    <n v="47"/>
    <n v="47"/>
    <n v="72"/>
    <m/>
    <m/>
    <x v="2"/>
    <x v="0"/>
    <x v="3"/>
    <x v="1"/>
  </r>
  <r>
    <n v="811"/>
    <s v="5b39de95d3db323a3a775883"/>
    <n v="1"/>
    <x v="96"/>
    <n v="100"/>
    <n v="4.0970000000000004"/>
    <n v="1338"/>
    <n v="1.72"/>
    <n v="56"/>
    <n v="97"/>
    <n v="97"/>
    <n v="6"/>
    <m/>
    <m/>
    <x v="2"/>
    <x v="0"/>
    <x v="0"/>
    <x v="1"/>
  </r>
  <r>
    <n v="812"/>
    <s v="5729fb5ce1220e593d1b86ac"/>
    <n v="1"/>
    <x v="96"/>
    <n v="100"/>
    <n v="4.101"/>
    <n v="32724"/>
    <n v="8"/>
    <n v="7"/>
    <n v="-14"/>
    <n v="-14"/>
    <n v="9"/>
    <m/>
    <m/>
    <x v="2"/>
    <x v="0"/>
    <x v="1"/>
    <x v="1"/>
  </r>
  <r>
    <n v="813"/>
    <s v="5d64f34f2736787d00ad93ec"/>
    <n v="1"/>
    <x v="96"/>
    <n v="100"/>
    <n v="4.1059999999999999"/>
    <n v="540"/>
    <n v="1.89"/>
    <n v="2"/>
    <n v="6"/>
    <n v="6"/>
    <n v="39"/>
    <m/>
    <m/>
    <x v="2"/>
    <x v="0"/>
    <x v="2"/>
    <x v="1"/>
  </r>
  <r>
    <n v="814"/>
    <s v="5ae2d056b125ab5424320fc1"/>
    <n v="1"/>
    <x v="96"/>
    <n v="100"/>
    <n v="4.1070000000000002"/>
    <n v="2199"/>
    <n v="8"/>
    <n v="25"/>
    <n v="68"/>
    <n v="68"/>
    <n v="55"/>
    <m/>
    <m/>
    <x v="2"/>
    <x v="0"/>
    <x v="0"/>
    <x v="1"/>
  </r>
  <r>
    <n v="815"/>
    <s v="5d54026f41ed515c7a1eb40a"/>
    <n v="1"/>
    <x v="96"/>
    <n v="100"/>
    <n v="4.1109999999999998"/>
    <n v="425"/>
    <n v="12"/>
    <n v="43"/>
    <n v="73"/>
    <n v="73"/>
    <n v="26"/>
    <m/>
    <m/>
    <x v="2"/>
    <x v="0"/>
    <x v="0"/>
    <x v="1"/>
  </r>
  <r>
    <n v="816"/>
    <s v="59a173df9fbc51783bd1f406"/>
    <n v="1"/>
    <x v="96"/>
    <n v="100"/>
    <n v="4.1180000000000003"/>
    <n v="4943"/>
    <n v="5.83"/>
    <n v="64"/>
    <n v="91"/>
    <n v="91"/>
    <n v="52"/>
    <m/>
    <m/>
    <x v="2"/>
    <x v="0"/>
    <x v="0"/>
    <x v="1"/>
  </r>
  <r>
    <n v="817"/>
    <s v="57ebc98dfc63523912aa1424"/>
    <n v="1"/>
    <x v="96"/>
    <n v="100"/>
    <n v="4.1230000000000002"/>
    <n v="1172"/>
    <n v="5"/>
    <n v="5"/>
    <n v="0"/>
    <n v="0"/>
    <n v="0"/>
    <m/>
    <m/>
    <x v="2"/>
    <x v="0"/>
    <x v="1"/>
    <x v="1"/>
  </r>
  <r>
    <n v="818"/>
    <s v="55ed54947e8372421830b946"/>
    <n v="1"/>
    <x v="96"/>
    <n v="100"/>
    <n v="4.1230000000000002"/>
    <n v="38936"/>
    <n v="11"/>
    <n v="10"/>
    <n v="-10"/>
    <n v="-10"/>
    <n v="5"/>
    <m/>
    <m/>
    <x v="2"/>
    <x v="0"/>
    <x v="1"/>
    <x v="1"/>
  </r>
  <r>
    <n v="819"/>
    <s v="5d7b761abd5aa37518970b8c"/>
    <n v="1"/>
    <x v="96"/>
    <n v="100"/>
    <n v="4.125"/>
    <n v="1385"/>
    <n v="9"/>
    <n v="34"/>
    <n v="74"/>
    <n v="74"/>
    <n v="18"/>
    <m/>
    <m/>
    <x v="2"/>
    <x v="0"/>
    <x v="0"/>
    <x v="1"/>
  </r>
  <r>
    <n v="820"/>
    <s v="5d4784dd56a260398c1bc597"/>
    <n v="1"/>
    <x v="96"/>
    <n v="100"/>
    <n v="4.1269999999999998"/>
    <n v="521"/>
    <n v="5"/>
    <n v="59"/>
    <n v="92"/>
    <n v="92"/>
    <n v="22"/>
    <m/>
    <m/>
    <x v="2"/>
    <x v="0"/>
    <x v="0"/>
    <x v="1"/>
  </r>
  <r>
    <n v="821"/>
    <s v="5512b0d98e8def07a462e1d7"/>
    <n v="1"/>
    <x v="96"/>
    <n v="100"/>
    <n v="4.1280000000000001"/>
    <n v="17655"/>
    <n v="7"/>
    <n v="6"/>
    <n v="-16"/>
    <n v="-16"/>
    <n v="47"/>
    <n v="1"/>
    <n v="100"/>
    <x v="2"/>
    <x v="0"/>
    <x v="1"/>
    <x v="0"/>
  </r>
  <r>
    <n v="822"/>
    <s v="595097d6a26f6e070cb878d1"/>
    <n v="1"/>
    <x v="96"/>
    <n v="100"/>
    <n v="4.1289999999999996"/>
    <n v="568"/>
    <n v="16"/>
    <n v="14"/>
    <n v="-14"/>
    <n v="-14"/>
    <n v="54"/>
    <n v="1"/>
    <n v="100"/>
    <x v="2"/>
    <x v="0"/>
    <x v="1"/>
    <x v="0"/>
  </r>
  <r>
    <n v="823"/>
    <s v="5772693e4e1511743e371036"/>
    <n v="1"/>
    <x v="96"/>
    <n v="100"/>
    <n v="4.13"/>
    <n v="1928"/>
    <n v="9"/>
    <n v="17"/>
    <n v="48"/>
    <n v="48"/>
    <n v="34"/>
    <m/>
    <m/>
    <x v="2"/>
    <x v="0"/>
    <x v="3"/>
    <x v="1"/>
  </r>
  <r>
    <n v="824"/>
    <s v="58ad74688a58e150335088ce"/>
    <n v="1"/>
    <x v="96"/>
    <n v="100"/>
    <n v="4.1310000000000002"/>
    <n v="24132"/>
    <n v="8"/>
    <n v="7"/>
    <n v="-14"/>
    <n v="-14"/>
    <n v="23"/>
    <m/>
    <m/>
    <x v="2"/>
    <x v="0"/>
    <x v="1"/>
    <x v="1"/>
  </r>
  <r>
    <n v="825"/>
    <s v="59f868d0eea5c51c2167d097"/>
    <n v="1"/>
    <x v="96"/>
    <n v="100"/>
    <n v="4.1360000000000001"/>
    <n v="18529"/>
    <n v="7"/>
    <n v="6"/>
    <n v="-16"/>
    <n v="-16"/>
    <n v="27"/>
    <m/>
    <m/>
    <x v="2"/>
    <x v="0"/>
    <x v="1"/>
    <x v="1"/>
  </r>
  <r>
    <n v="826"/>
    <s v="58b569edfc743d5072bcd4d9"/>
    <n v="1"/>
    <x v="96"/>
    <n v="100"/>
    <n v="4.141"/>
    <n v="8685"/>
    <n v="11"/>
    <n v="26"/>
    <n v="58"/>
    <n v="58"/>
    <n v="1"/>
    <n v="1"/>
    <n v="100"/>
    <x v="2"/>
    <x v="0"/>
    <x v="0"/>
    <x v="0"/>
  </r>
  <r>
    <n v="827"/>
    <s v="5b7e1d0f5b299812c53e81f5"/>
    <n v="1"/>
    <x v="96"/>
    <n v="100"/>
    <n v="4.1509999999999998"/>
    <n v="1269"/>
    <n v="7"/>
    <n v="34"/>
    <n v="80"/>
    <n v="80"/>
    <n v="106"/>
    <m/>
    <m/>
    <x v="2"/>
    <x v="0"/>
    <x v="0"/>
    <x v="1"/>
  </r>
  <r>
    <n v="828"/>
    <s v="57ac5da80e3c8a18b4746013"/>
    <n v="1"/>
    <x v="96"/>
    <n v="100"/>
    <n v="4.157"/>
    <n v="300"/>
    <n v="18"/>
    <n v="115"/>
    <n v="85"/>
    <n v="85"/>
    <n v="177"/>
    <n v="1"/>
    <n v="100"/>
    <x v="2"/>
    <x v="0"/>
    <x v="0"/>
    <x v="0"/>
  </r>
  <r>
    <n v="829"/>
    <s v="582c4556ef562807126df946"/>
    <n v="1"/>
    <x v="96"/>
    <n v="100"/>
    <n v="4.1580000000000004"/>
    <n v="19867"/>
    <n v="5"/>
    <n v="26"/>
    <n v="81"/>
    <n v="81"/>
    <n v="4"/>
    <m/>
    <m/>
    <x v="2"/>
    <x v="0"/>
    <x v="0"/>
    <x v="1"/>
  </r>
  <r>
    <n v="830"/>
    <s v="5960922537635d7e09b47c1d"/>
    <n v="1"/>
    <x v="96"/>
    <n v="100"/>
    <n v="4.1580000000000004"/>
    <n v="7267"/>
    <n v="15"/>
    <n v="59"/>
    <n v="75"/>
    <n v="75"/>
    <n v="202"/>
    <m/>
    <m/>
    <x v="2"/>
    <x v="0"/>
    <x v="0"/>
    <x v="1"/>
  </r>
  <r>
    <n v="831"/>
    <s v="58171618bfa9fd1994661235"/>
    <n v="1"/>
    <x v="96"/>
    <n v="100"/>
    <n v="4.1589999999999998"/>
    <n v="2602"/>
    <n v="6"/>
    <n v="145"/>
    <n v="96"/>
    <n v="96"/>
    <n v="52"/>
    <m/>
    <m/>
    <x v="2"/>
    <x v="0"/>
    <x v="0"/>
    <x v="1"/>
  </r>
  <r>
    <n v="832"/>
    <s v="5d481bd022f3014c80e6ddb2"/>
    <n v="1"/>
    <x v="96"/>
    <n v="100"/>
    <n v="4.1669999999999998"/>
    <n v="30"/>
    <n v="1"/>
    <n v="1"/>
    <n v="0"/>
    <n v="0"/>
    <n v="6"/>
    <m/>
    <m/>
    <x v="2"/>
    <x v="0"/>
    <x v="1"/>
    <x v="1"/>
  </r>
  <r>
    <n v="833"/>
    <s v="59f9687a37f9f80d31798d60"/>
    <n v="1"/>
    <x v="96"/>
    <n v="100"/>
    <n v="4.1669999999999998"/>
    <n v="629"/>
    <n v="6"/>
    <n v="17"/>
    <n v="65"/>
    <n v="65"/>
    <n v="93"/>
    <n v="1"/>
    <n v="100"/>
    <x v="2"/>
    <x v="0"/>
    <x v="0"/>
    <x v="0"/>
  </r>
  <r>
    <n v="834"/>
    <s v="5845000d330f3a4d59cff91f"/>
    <n v="1"/>
    <x v="96"/>
    <n v="100"/>
    <n v="4.1680000000000001"/>
    <n v="10799"/>
    <n v="5"/>
    <n v="5"/>
    <n v="0"/>
    <n v="0"/>
    <n v="10"/>
    <m/>
    <m/>
    <x v="2"/>
    <x v="0"/>
    <x v="1"/>
    <x v="1"/>
  </r>
  <r>
    <n v="835"/>
    <s v="5ad7066e1b98df3e558530a6"/>
    <n v="1"/>
    <x v="96"/>
    <n v="100"/>
    <n v="4.17"/>
    <n v="3520"/>
    <n v="14"/>
    <n v="12"/>
    <n v="-16"/>
    <n v="-16"/>
    <n v="65"/>
    <m/>
    <m/>
    <x v="2"/>
    <x v="0"/>
    <x v="1"/>
    <x v="1"/>
  </r>
  <r>
    <n v="836"/>
    <s v="5afab0f75ccdca0e69a067b8"/>
    <n v="1"/>
    <x v="96"/>
    <n v="100"/>
    <n v="4.1859999999999999"/>
    <n v="435"/>
    <n v="11"/>
    <n v="28"/>
    <n v="61"/>
    <n v="61"/>
    <n v="107"/>
    <m/>
    <m/>
    <x v="2"/>
    <x v="0"/>
    <x v="0"/>
    <x v="1"/>
  </r>
  <r>
    <n v="837"/>
    <s v="5d54f7e47ad2426b008579ae"/>
    <n v="1"/>
    <x v="96"/>
    <n v="100"/>
    <n v="4.1900000000000004"/>
    <n v="163"/>
    <n v="2.9"/>
    <n v="3"/>
    <n v="4"/>
    <n v="4"/>
    <n v="19"/>
    <m/>
    <m/>
    <x v="2"/>
    <x v="0"/>
    <x v="2"/>
    <x v="1"/>
  </r>
  <r>
    <n v="838"/>
    <s v="5ab9f77bea8764355800e5a2"/>
    <n v="1"/>
    <x v="96"/>
    <n v="100"/>
    <n v="4.1920000000000002"/>
    <n v="14327"/>
    <n v="4.7"/>
    <n v="19"/>
    <n v="76"/>
    <n v="76"/>
    <n v="15"/>
    <m/>
    <m/>
    <x v="2"/>
    <x v="0"/>
    <x v="0"/>
    <x v="1"/>
  </r>
  <r>
    <n v="839"/>
    <s v="585b36a336cedf4cb6c6ea62"/>
    <n v="1"/>
    <x v="96"/>
    <n v="100"/>
    <n v="4.1950000000000003"/>
    <n v="18079"/>
    <n v="13"/>
    <n v="68"/>
    <n v="81"/>
    <n v="81"/>
    <n v="121"/>
    <m/>
    <m/>
    <x v="2"/>
    <x v="0"/>
    <x v="0"/>
    <x v="1"/>
  </r>
  <r>
    <n v="840"/>
    <s v="5ad01a6a70cf6977d05013de"/>
    <n v="1"/>
    <x v="96"/>
    <n v="100"/>
    <n v="4.21"/>
    <n v="2282"/>
    <n v="11"/>
    <n v="10"/>
    <n v="-10"/>
    <n v="-10"/>
    <n v="96"/>
    <m/>
    <m/>
    <x v="2"/>
    <x v="0"/>
    <x v="1"/>
    <x v="1"/>
  </r>
  <r>
    <n v="841"/>
    <s v="5486cf7540b3786ec7c7e4ee"/>
    <n v="1"/>
    <x v="96"/>
    <n v="100"/>
    <n v="4.21"/>
    <n v="9541"/>
    <n v="11"/>
    <n v="30"/>
    <n v="64"/>
    <n v="64"/>
    <n v="28"/>
    <m/>
    <m/>
    <x v="2"/>
    <x v="0"/>
    <x v="0"/>
    <x v="1"/>
  </r>
  <r>
    <n v="842"/>
    <s v="5d413afa0ff7f947c0e21025"/>
    <n v="1"/>
    <x v="96"/>
    <n v="100"/>
    <n v="4.2110000000000003"/>
    <n v="878"/>
    <n v="14"/>
    <n v="97"/>
    <n v="86"/>
    <n v="86"/>
    <n v="44"/>
    <m/>
    <m/>
    <x v="2"/>
    <x v="0"/>
    <x v="0"/>
    <x v="1"/>
  </r>
  <r>
    <n v="843"/>
    <s v="596d9a4937635d7622a6c7f6"/>
    <n v="1"/>
    <x v="96"/>
    <n v="100"/>
    <n v="4.2119999999999997"/>
    <n v="1290"/>
    <n v="8"/>
    <n v="7"/>
    <n v="-14"/>
    <n v="-14"/>
    <n v="111"/>
    <m/>
    <m/>
    <x v="2"/>
    <x v="0"/>
    <x v="1"/>
    <x v="1"/>
  </r>
  <r>
    <n v="844"/>
    <s v="5adef67640626a4b409b8e94"/>
    <n v="1"/>
    <x v="96"/>
    <n v="100"/>
    <n v="4.2130000000000001"/>
    <n v="5106"/>
    <n v="5.92"/>
    <n v="9"/>
    <n v="35"/>
    <n v="35"/>
    <n v="17"/>
    <m/>
    <m/>
    <x v="2"/>
    <x v="0"/>
    <x v="3"/>
    <x v="1"/>
  </r>
  <r>
    <n v="845"/>
    <s v="5b13817f0128754174259044"/>
    <n v="1"/>
    <x v="96"/>
    <n v="100"/>
    <n v="4.2130000000000001"/>
    <n v="2399"/>
    <n v="3.93"/>
    <n v="24"/>
    <n v="84"/>
    <n v="84"/>
    <n v="57"/>
    <m/>
    <m/>
    <x v="2"/>
    <x v="0"/>
    <x v="0"/>
    <x v="1"/>
  </r>
  <r>
    <n v="846"/>
    <s v="5925555b2cd9447854443c41"/>
    <n v="1"/>
    <x v="96"/>
    <n v="100"/>
    <n v="4.2229999999999999"/>
    <n v="29977"/>
    <n v="49"/>
    <n v="42"/>
    <n v="-16"/>
    <n v="-16"/>
    <n v="6"/>
    <m/>
    <m/>
    <x v="2"/>
    <x v="0"/>
    <x v="1"/>
    <x v="1"/>
  </r>
  <r>
    <n v="847"/>
    <s v="58d12c00b9d9d6505a44c4e6"/>
    <n v="1"/>
    <x v="96"/>
    <n v="100"/>
    <n v="4.2270000000000003"/>
    <n v="1465"/>
    <n v="18"/>
    <n v="47"/>
    <n v="62"/>
    <n v="62"/>
    <n v="34"/>
    <m/>
    <m/>
    <x v="2"/>
    <x v="0"/>
    <x v="0"/>
    <x v="1"/>
  </r>
  <r>
    <n v="848"/>
    <s v="5860cbf734de6c4d4803523d"/>
    <n v="1"/>
    <x v="96"/>
    <n v="100"/>
    <n v="4.2270000000000003"/>
    <n v="7740"/>
    <n v="12"/>
    <n v="102"/>
    <n v="89"/>
    <n v="89"/>
    <n v="75"/>
    <m/>
    <m/>
    <x v="2"/>
    <x v="0"/>
    <x v="0"/>
    <x v="1"/>
  </r>
  <r>
    <n v="849"/>
    <s v="5953816a9579d81e5edcc3d7"/>
    <n v="1"/>
    <x v="96"/>
    <n v="100"/>
    <n v="4.2279999999999998"/>
    <n v="7328"/>
    <n v="14"/>
    <n v="92"/>
    <n v="85"/>
    <n v="85"/>
    <n v="25"/>
    <m/>
    <m/>
    <x v="2"/>
    <x v="0"/>
    <x v="0"/>
    <x v="1"/>
  </r>
  <r>
    <n v="850"/>
    <s v="59815a929fbc512d72137ba5"/>
    <n v="1"/>
    <x v="96"/>
    <n v="100"/>
    <n v="4.2279999999999998"/>
    <n v="2228"/>
    <n v="9"/>
    <n v="46"/>
    <n v="81"/>
    <n v="81"/>
    <n v="7"/>
    <m/>
    <m/>
    <x v="2"/>
    <x v="0"/>
    <x v="0"/>
    <x v="1"/>
  </r>
  <r>
    <n v="851"/>
    <s v="59802a908ee78d7ec44d192a"/>
    <n v="1"/>
    <x v="96"/>
    <n v="100"/>
    <n v="4.2320000000000002"/>
    <n v="14664"/>
    <n v="8"/>
    <n v="85"/>
    <n v="91"/>
    <n v="91"/>
    <n v="19"/>
    <m/>
    <m/>
    <x v="2"/>
    <x v="0"/>
    <x v="0"/>
    <x v="1"/>
  </r>
  <r>
    <n v="852"/>
    <s v="58d3cd3b773e9257cc5b990a"/>
    <n v="1"/>
    <x v="96"/>
    <n v="100"/>
    <n v="4.2320000000000002"/>
    <n v="4501"/>
    <n v="3.87"/>
    <n v="15"/>
    <n v="75"/>
    <n v="75"/>
    <n v="43"/>
    <m/>
    <m/>
    <x v="2"/>
    <x v="0"/>
    <x v="0"/>
    <x v="1"/>
  </r>
  <r>
    <n v="853"/>
    <s v="5a129c6aeea5c546c8b8e2f8"/>
    <n v="1"/>
    <x v="96"/>
    <n v="100"/>
    <n v="4.234"/>
    <n v="487"/>
    <n v="19"/>
    <n v="17"/>
    <n v="-11"/>
    <n v="-11"/>
    <n v="61"/>
    <m/>
    <m/>
    <x v="2"/>
    <x v="0"/>
    <x v="1"/>
    <x v="1"/>
  </r>
  <r>
    <n v="854"/>
    <s v="5a409cf87b584e7951b2e25f"/>
    <n v="1"/>
    <x v="96"/>
    <n v="100"/>
    <n v="4.2359999999999998"/>
    <n v="7023"/>
    <n v="7"/>
    <n v="6"/>
    <n v="-16"/>
    <n v="-16"/>
    <n v="14"/>
    <m/>
    <m/>
    <x v="2"/>
    <x v="0"/>
    <x v="1"/>
    <x v="1"/>
  </r>
  <r>
    <n v="855"/>
    <s v="5d55f05833f0b43dceb58a50"/>
    <n v="1"/>
    <x v="96"/>
    <n v="100"/>
    <n v="4.2380000000000004"/>
    <n v="63"/>
    <n v="8"/>
    <n v="22"/>
    <n v="64"/>
    <n v="64"/>
    <n v="10"/>
    <m/>
    <m/>
    <x v="2"/>
    <x v="0"/>
    <x v="0"/>
    <x v="1"/>
  </r>
  <r>
    <n v="856"/>
    <s v="5aa5d06da6bf7a7f7285bc0e"/>
    <n v="1"/>
    <x v="96"/>
    <n v="100"/>
    <n v="4.24"/>
    <n v="3769"/>
    <n v="9"/>
    <n v="8"/>
    <n v="-12"/>
    <n v="-12"/>
    <n v="23"/>
    <m/>
    <m/>
    <x v="2"/>
    <x v="0"/>
    <x v="1"/>
    <x v="1"/>
  </r>
  <r>
    <n v="857"/>
    <s v="58e4a53ce070a80f9180685a"/>
    <n v="1"/>
    <x v="96"/>
    <n v="100"/>
    <n v="4.2430000000000003"/>
    <n v="8888"/>
    <n v="3.65"/>
    <n v="9"/>
    <n v="60"/>
    <n v="60"/>
    <n v="8"/>
    <m/>
    <m/>
    <x v="2"/>
    <x v="0"/>
    <x v="0"/>
    <x v="1"/>
  </r>
  <r>
    <n v="858"/>
    <s v="58d10bee24f9f96bdbe80fb6"/>
    <n v="1"/>
    <x v="96"/>
    <n v="100"/>
    <n v="4.2439999999999998"/>
    <n v="4758"/>
    <n v="12"/>
    <n v="100"/>
    <n v="88"/>
    <n v="88"/>
    <n v="40"/>
    <n v="1"/>
    <n v="100"/>
    <x v="2"/>
    <x v="0"/>
    <x v="0"/>
    <x v="0"/>
  </r>
  <r>
    <n v="859"/>
    <s v="5d3d0c2c4b4fdb2f38b5e54d"/>
    <n v="1"/>
    <x v="96"/>
    <n v="100"/>
    <n v="4.2450000000000001"/>
    <n v="1309"/>
    <n v="2.79"/>
    <n v="13"/>
    <n v="79"/>
    <n v="79"/>
    <n v="2"/>
    <m/>
    <m/>
    <x v="2"/>
    <x v="0"/>
    <x v="0"/>
    <x v="1"/>
  </r>
  <r>
    <n v="860"/>
    <s v="5d58d3b433f0b4349bbe941f"/>
    <n v="1"/>
    <x v="96"/>
    <n v="100"/>
    <n v="4.2469999999999999"/>
    <n v="299"/>
    <n v="11"/>
    <n v="10"/>
    <n v="-10"/>
    <n v="-10"/>
    <n v="3"/>
    <m/>
    <m/>
    <x v="2"/>
    <x v="0"/>
    <x v="1"/>
    <x v="1"/>
  </r>
  <r>
    <n v="861"/>
    <s v="5c077d9e80508524a1cb3315"/>
    <n v="1"/>
    <x v="96"/>
    <n v="100"/>
    <n v="4.2480000000000002"/>
    <n v="7218"/>
    <n v="2.69"/>
    <n v="3"/>
    <n v="11"/>
    <n v="11"/>
    <n v="1"/>
    <m/>
    <m/>
    <x v="2"/>
    <x v="0"/>
    <x v="2"/>
    <x v="1"/>
  </r>
  <r>
    <n v="862"/>
    <s v="590189980094b829518713b8"/>
    <n v="1"/>
    <x v="96"/>
    <n v="100"/>
    <n v="4.2640000000000002"/>
    <n v="16994"/>
    <n v="11"/>
    <n v="10"/>
    <n v="-10"/>
    <n v="-10"/>
    <n v="51"/>
    <m/>
    <m/>
    <x v="2"/>
    <x v="0"/>
    <x v="1"/>
    <x v="1"/>
  </r>
  <r>
    <n v="863"/>
    <s v="5dbd7b090140ee044252ed12"/>
    <n v="1"/>
    <x v="96"/>
    <n v="100"/>
    <n v="4.2640000000000002"/>
    <n v="855"/>
    <n v="7"/>
    <n v="6"/>
    <n v="-16"/>
    <n v="-16"/>
    <n v="11"/>
    <m/>
    <m/>
    <x v="2"/>
    <x v="0"/>
    <x v="1"/>
    <x v="1"/>
  </r>
  <r>
    <n v="864"/>
    <s v="567eb3a5d8a1043c0ab70707"/>
    <n v="1"/>
    <x v="96"/>
    <n v="100"/>
    <n v="4.2720000000000002"/>
    <n v="1088"/>
    <n v="16"/>
    <n v="76"/>
    <n v="79"/>
    <n v="79"/>
    <n v="38"/>
    <m/>
    <m/>
    <x v="2"/>
    <x v="0"/>
    <x v="0"/>
    <x v="1"/>
  </r>
  <r>
    <n v="865"/>
    <s v="577a1c0517c3e2747a5a4659"/>
    <n v="1"/>
    <x v="96"/>
    <n v="100"/>
    <n v="4.274"/>
    <n v="8950"/>
    <n v="18"/>
    <n v="76"/>
    <n v="77"/>
    <n v="77"/>
    <n v="120"/>
    <n v="1"/>
    <n v="100"/>
    <x v="2"/>
    <x v="0"/>
    <x v="0"/>
    <x v="0"/>
  </r>
  <r>
    <n v="866"/>
    <s v="56da85f4df108f268b4a6618"/>
    <n v="1"/>
    <x v="96"/>
    <n v="100"/>
    <n v="4.2759999999999998"/>
    <n v="8443"/>
    <n v="4.66"/>
    <n v="11"/>
    <n v="58"/>
    <n v="58"/>
    <n v="24"/>
    <m/>
    <m/>
    <x v="2"/>
    <x v="0"/>
    <x v="0"/>
    <x v="1"/>
  </r>
  <r>
    <n v="867"/>
    <s v="554b7fc033c1d7162b690160"/>
    <n v="1"/>
    <x v="96"/>
    <n v="100"/>
    <n v="4.2779999999999996"/>
    <n v="12745"/>
    <n v="8"/>
    <n v="7"/>
    <n v="-14"/>
    <n v="-14"/>
    <n v="139"/>
    <m/>
    <m/>
    <x v="2"/>
    <x v="0"/>
    <x v="1"/>
    <x v="1"/>
  </r>
  <r>
    <n v="868"/>
    <s v="5e0b55766a4343d3823c7215"/>
    <n v="1"/>
    <x v="96"/>
    <n v="100"/>
    <n v="4.2830000000000004"/>
    <n v="120"/>
    <n v="11"/>
    <n v="10"/>
    <n v="-10"/>
    <n v="-10"/>
    <n v="8"/>
    <n v="1"/>
    <n v="100"/>
    <x v="2"/>
    <x v="0"/>
    <x v="1"/>
    <x v="0"/>
  </r>
  <r>
    <n v="869"/>
    <s v="598429c3947e4119b7bec1c0"/>
    <n v="1"/>
    <x v="96"/>
    <n v="100"/>
    <n v="4.2880000000000003"/>
    <n v="29265"/>
    <n v="14"/>
    <n v="84"/>
    <n v="84"/>
    <n v="84"/>
    <n v="103"/>
    <m/>
    <m/>
    <x v="2"/>
    <x v="0"/>
    <x v="0"/>
    <x v="1"/>
  </r>
  <r>
    <n v="870"/>
    <s v="5b083a8b7e43f23f2e16cbd6"/>
    <n v="1"/>
    <x v="96"/>
    <n v="100"/>
    <n v="4.29"/>
    <n v="3190"/>
    <n v="9"/>
    <n v="17"/>
    <n v="48"/>
    <n v="48"/>
    <n v="92"/>
    <m/>
    <m/>
    <x v="2"/>
    <x v="0"/>
    <x v="3"/>
    <x v="1"/>
  </r>
  <r>
    <n v="871"/>
    <s v="5673acd9c1a80060fb201026"/>
    <n v="1"/>
    <x v="96"/>
    <n v="100"/>
    <n v="4.2990000000000004"/>
    <n v="3028"/>
    <n v="5.65"/>
    <n v="26"/>
    <n v="79"/>
    <n v="79"/>
    <n v="33"/>
    <m/>
    <m/>
    <x v="2"/>
    <x v="0"/>
    <x v="0"/>
    <x v="1"/>
  </r>
  <r>
    <n v="872"/>
    <s v="5650100887aaa61273717ce0"/>
    <n v="1"/>
    <x v="96"/>
    <n v="100"/>
    <n v="4.3109999999999999"/>
    <n v="19632"/>
    <n v="16"/>
    <n v="50"/>
    <n v="68"/>
    <n v="68"/>
    <n v="46"/>
    <m/>
    <m/>
    <x v="2"/>
    <x v="0"/>
    <x v="0"/>
    <x v="1"/>
  </r>
  <r>
    <n v="873"/>
    <s v="580595bda46fa31f93d83357"/>
    <n v="1"/>
    <x v="96"/>
    <n v="100"/>
    <n v="4.3250000000000002"/>
    <n v="1151"/>
    <n v="11"/>
    <n v="10"/>
    <n v="-10"/>
    <n v="-10"/>
    <n v="28"/>
    <m/>
    <m/>
    <x v="2"/>
    <x v="0"/>
    <x v="1"/>
    <x v="1"/>
  </r>
  <r>
    <n v="874"/>
    <s v="582c712cae088637843348a5"/>
    <n v="1"/>
    <x v="96"/>
    <n v="100"/>
    <n v="4.3369999999999997"/>
    <n v="34975"/>
    <n v="9"/>
    <n v="8"/>
    <n v="-12"/>
    <n v="-12"/>
    <n v="27"/>
    <m/>
    <m/>
    <x v="2"/>
    <x v="0"/>
    <x v="1"/>
    <x v="1"/>
  </r>
  <r>
    <n v="875"/>
    <s v="587dd9a883eee74e06b30974"/>
    <n v="1"/>
    <x v="96"/>
    <n v="100"/>
    <n v="4.3369999999999997"/>
    <n v="7012"/>
    <n v="8"/>
    <n v="7"/>
    <n v="-14"/>
    <n v="-14"/>
    <n v="14"/>
    <m/>
    <m/>
    <x v="2"/>
    <x v="0"/>
    <x v="1"/>
    <x v="1"/>
  </r>
  <r>
    <n v="876"/>
    <s v="53bd3edad911396c5b3fb0aa"/>
    <n v="1"/>
    <x v="96"/>
    <n v="100"/>
    <n v="4.3410000000000002"/>
    <n v="1972"/>
    <n v="5.85"/>
    <n v="43"/>
    <n v="87"/>
    <n v="87"/>
    <n v="45"/>
    <m/>
    <m/>
    <x v="2"/>
    <x v="0"/>
    <x v="0"/>
    <x v="1"/>
  </r>
  <r>
    <n v="877"/>
    <s v="5b71353ec8cfda2270406795"/>
    <n v="1"/>
    <x v="96"/>
    <n v="100"/>
    <n v="4.343"/>
    <n v="3038"/>
    <n v="7"/>
    <n v="6"/>
    <n v="-16"/>
    <n v="-16"/>
    <n v="57"/>
    <n v="1"/>
    <n v="100"/>
    <x v="2"/>
    <x v="0"/>
    <x v="1"/>
    <x v="0"/>
  </r>
  <r>
    <n v="878"/>
    <s v="5ec3b16fedb2cda500b96542"/>
    <n v="1"/>
    <x v="96"/>
    <n v="100"/>
    <n v="4.3650000000000002"/>
    <n v="96"/>
    <n v="5.86"/>
    <n v="5"/>
    <n v="-17"/>
    <n v="-17"/>
    <n v="76"/>
    <m/>
    <m/>
    <x v="2"/>
    <x v="0"/>
    <x v="1"/>
    <x v="1"/>
  </r>
  <r>
    <n v="879"/>
    <s v="58501ac7b9e3474c9f4b2afd"/>
    <n v="1"/>
    <x v="96"/>
    <n v="100"/>
    <n v="4.3650000000000002"/>
    <n v="10917"/>
    <n v="3.69"/>
    <n v="40"/>
    <n v="91"/>
    <n v="91"/>
    <n v="59"/>
    <n v="1"/>
    <n v="100"/>
    <x v="2"/>
    <x v="0"/>
    <x v="0"/>
    <x v="0"/>
  </r>
  <r>
    <n v="880"/>
    <s v="5778fd153a698c5c2d845ed9"/>
    <n v="1"/>
    <x v="96"/>
    <n v="100"/>
    <n v="4.3659999999999997"/>
    <n v="6121"/>
    <n v="11"/>
    <n v="42"/>
    <n v="74"/>
    <n v="74"/>
    <n v="55"/>
    <n v="1"/>
    <n v="100"/>
    <x v="2"/>
    <x v="0"/>
    <x v="0"/>
    <x v="0"/>
  </r>
  <r>
    <n v="881"/>
    <s v="5742c706d75bc459506b80f1"/>
    <n v="1"/>
    <x v="96"/>
    <n v="100"/>
    <n v="4.431"/>
    <n v="105684"/>
    <n v="7"/>
    <n v="6"/>
    <n v="-16"/>
    <n v="-16"/>
    <n v="23"/>
    <m/>
    <m/>
    <x v="2"/>
    <x v="0"/>
    <x v="1"/>
    <x v="1"/>
  </r>
  <r>
    <n v="882"/>
    <s v="57773e8e7f1b5074ad85dd89"/>
    <n v="1"/>
    <x v="96"/>
    <n v="100"/>
    <n v="4.4379999999999997"/>
    <n v="54773"/>
    <n v="2.66"/>
    <n v="9"/>
    <n v="71"/>
    <n v="71"/>
    <n v="1"/>
    <m/>
    <m/>
    <x v="2"/>
    <x v="0"/>
    <x v="0"/>
    <x v="1"/>
  </r>
  <r>
    <n v="883"/>
    <s v="5d513ddf1d9a8e239c347192"/>
    <n v="1"/>
    <x v="96"/>
    <n v="100"/>
    <n v="4.444"/>
    <n v="36"/>
    <n v="5.75"/>
    <n v="16"/>
    <n v="65"/>
    <n v="65"/>
    <n v="27"/>
    <n v="1"/>
    <n v="100"/>
    <x v="2"/>
    <x v="0"/>
    <x v="0"/>
    <x v="0"/>
  </r>
  <r>
    <n v="884"/>
    <s v="5848298b68eb84699231b1f2"/>
    <n v="1"/>
    <x v="96"/>
    <n v="100"/>
    <n v="4.4560000000000004"/>
    <n v="10622"/>
    <n v="1.76"/>
    <n v="2"/>
    <n v="12"/>
    <n v="12"/>
    <n v="35"/>
    <m/>
    <m/>
    <x v="2"/>
    <x v="0"/>
    <x v="2"/>
    <x v="1"/>
  </r>
  <r>
    <n v="885"/>
    <s v="5915c592fc9cce7eb7312bd4"/>
    <n v="1"/>
    <x v="96"/>
    <n v="100"/>
    <n v="4.4630000000000001"/>
    <n v="3682"/>
    <n v="13"/>
    <n v="26"/>
    <n v="50"/>
    <n v="50"/>
    <n v="113"/>
    <m/>
    <m/>
    <x v="2"/>
    <x v="0"/>
    <x v="3"/>
    <x v="1"/>
  </r>
  <r>
    <n v="886"/>
    <s v="55837e8030c8403f7c8044b9"/>
    <n v="1"/>
    <x v="96"/>
    <n v="100"/>
    <n v="4.4870000000000001"/>
    <n v="2805"/>
    <n v="5"/>
    <n v="9"/>
    <n v="45"/>
    <n v="45"/>
    <n v="6"/>
    <m/>
    <m/>
    <x v="2"/>
    <x v="0"/>
    <x v="3"/>
    <x v="1"/>
  </r>
  <r>
    <n v="887"/>
    <s v="5b07dc937752c81ecb291b66"/>
    <n v="1"/>
    <x v="96"/>
    <n v="100"/>
    <n v="4.5220000000000002"/>
    <n v="343"/>
    <n v="3.73"/>
    <n v="17"/>
    <n v="79"/>
    <n v="79"/>
    <n v="27"/>
    <m/>
    <m/>
    <x v="2"/>
    <x v="3"/>
    <x v="0"/>
    <x v="1"/>
  </r>
  <r>
    <n v="888"/>
    <s v="559f372b577ce1196ef7f66c"/>
    <n v="1"/>
    <x v="96"/>
    <n v="100"/>
    <n v="4.5780000000000003"/>
    <n v="1032"/>
    <n v="8"/>
    <n v="47"/>
    <n v="83"/>
    <n v="83"/>
    <n v="110"/>
    <m/>
    <m/>
    <x v="2"/>
    <x v="3"/>
    <x v="0"/>
    <x v="1"/>
  </r>
  <r>
    <n v="889"/>
    <s v="5dab9ece69ce753090f6735c"/>
    <n v="1"/>
    <x v="96"/>
    <n v="100"/>
    <n v="5"/>
    <n v="0"/>
    <n v="7"/>
    <n v="6"/>
    <n v="-16"/>
    <n v="-16"/>
    <n v="0"/>
    <m/>
    <m/>
    <x v="2"/>
    <x v="3"/>
    <x v="1"/>
    <x v="1"/>
  </r>
  <r>
    <n v="890"/>
    <s v="5d5a520c560eca48d7f140eb"/>
    <n v="2"/>
    <x v="96"/>
    <n v="50"/>
    <n v="3.516"/>
    <n v="254"/>
    <n v="4"/>
    <n v="4"/>
    <n v="0"/>
    <n v="0"/>
    <n v="1"/>
    <n v="1"/>
    <n v="50"/>
    <x v="2"/>
    <x v="1"/>
    <x v="1"/>
    <x v="0"/>
  </r>
  <r>
    <n v="891"/>
    <s v="5e6771b33cce5a8dd4f6fd3c"/>
    <n v="2"/>
    <x v="96"/>
    <n v="50"/>
    <n v="3.75"/>
    <n v="4"/>
    <n v="5"/>
    <n v="5"/>
    <n v="0"/>
    <n v="0"/>
    <n v="1"/>
    <n v="1"/>
    <n v="50"/>
    <x v="2"/>
    <x v="1"/>
    <x v="1"/>
    <x v="0"/>
  </r>
  <r>
    <n v="892"/>
    <s v="5b0fa1b72c3c1d2abb34f1a4"/>
    <n v="2"/>
    <x v="96"/>
    <n v="50"/>
    <n v="3.7919999999999998"/>
    <n v="519"/>
    <n v="8"/>
    <n v="7"/>
    <n v="-14"/>
    <n v="-14"/>
    <n v="6"/>
    <n v="1"/>
    <n v="50"/>
    <x v="2"/>
    <x v="1"/>
    <x v="1"/>
    <x v="0"/>
  </r>
  <r>
    <n v="893"/>
    <s v="58d8e8ebd929c652b9c04c05"/>
    <n v="2"/>
    <x v="96"/>
    <n v="50"/>
    <n v="3.88"/>
    <n v="3730"/>
    <n v="3.76"/>
    <n v="7"/>
    <n v="47"/>
    <n v="47"/>
    <n v="8"/>
    <m/>
    <m/>
    <x v="2"/>
    <x v="1"/>
    <x v="3"/>
    <x v="1"/>
  </r>
  <r>
    <n v="894"/>
    <s v="5e748f2484068a0289ab6f9f"/>
    <n v="2"/>
    <x v="96"/>
    <n v="50"/>
    <n v="3.923"/>
    <n v="26"/>
    <n v="20"/>
    <n v="17"/>
    <n v="-17"/>
    <n v="-17"/>
    <n v="12"/>
    <n v="1"/>
    <n v="50"/>
    <x v="2"/>
    <x v="1"/>
    <x v="1"/>
    <x v="0"/>
  </r>
  <r>
    <n v="895"/>
    <s v="5e686e632fb13f0b010b6cd0"/>
    <n v="2"/>
    <x v="96"/>
    <n v="50"/>
    <n v="4.1749999999999998"/>
    <n v="57"/>
    <n v="12"/>
    <n v="85"/>
    <n v="86"/>
    <n v="86"/>
    <n v="4"/>
    <n v="1"/>
    <n v="50"/>
    <x v="2"/>
    <x v="0"/>
    <x v="0"/>
    <x v="0"/>
  </r>
  <r>
    <n v="896"/>
    <s v="5a14dbb27dee4a2da907bddb"/>
    <n v="2"/>
    <x v="96"/>
    <n v="50"/>
    <n v="4.4580000000000002"/>
    <n v="537"/>
    <n v="9"/>
    <n v="34"/>
    <n v="74"/>
    <n v="74"/>
    <n v="5"/>
    <n v="1"/>
    <n v="50"/>
    <x v="2"/>
    <x v="0"/>
    <x v="0"/>
    <x v="0"/>
  </r>
  <r>
    <n v="897"/>
    <s v="5e5cb2f077179e1ac07004a2"/>
    <n v="2"/>
    <x v="97"/>
    <n v="30"/>
    <n v="3.8849999999999998"/>
    <n v="52"/>
    <n v="12"/>
    <n v="14"/>
    <n v="15"/>
    <n v="15"/>
    <n v="4"/>
    <m/>
    <m/>
    <x v="3"/>
    <x v="1"/>
    <x v="2"/>
    <x v="1"/>
  </r>
  <r>
    <n v="898"/>
    <s v="5e4f330366b9710ecfaff138"/>
    <n v="1"/>
    <x v="98"/>
    <n v="50"/>
    <n v="3.464"/>
    <n v="28"/>
    <n v="12"/>
    <n v="11"/>
    <n v="-9"/>
    <n v="-9"/>
    <n v="7"/>
    <m/>
    <m/>
    <x v="3"/>
    <x v="2"/>
    <x v="1"/>
    <x v="1"/>
  </r>
  <r>
    <n v="899"/>
    <s v="5e4b6a0c57cc9b0b53e499a4"/>
    <n v="1"/>
    <x v="98"/>
    <n v="50"/>
    <n v="3.6669999999999998"/>
    <n v="9"/>
    <n v="5"/>
    <n v="38"/>
    <n v="87"/>
    <n v="87"/>
    <n v="2"/>
    <m/>
    <m/>
    <x v="3"/>
    <x v="1"/>
    <x v="0"/>
    <x v="1"/>
  </r>
  <r>
    <n v="900"/>
    <s v="5e75cce27477a26d336a6c07"/>
    <n v="1"/>
    <x v="98"/>
    <n v="50"/>
    <n v="3.6760000000000002"/>
    <n v="34"/>
    <n v="15"/>
    <n v="13"/>
    <n v="-15"/>
    <n v="-15"/>
    <n v="10"/>
    <m/>
    <m/>
    <x v="3"/>
    <x v="1"/>
    <x v="1"/>
    <x v="1"/>
  </r>
  <r>
    <n v="901"/>
    <s v="5e732ba4dc0ec3709851e0f7"/>
    <n v="1"/>
    <x v="98"/>
    <n v="50"/>
    <n v="3.714"/>
    <n v="21"/>
    <n v="11"/>
    <n v="85"/>
    <n v="88"/>
    <n v="88"/>
    <n v="7"/>
    <n v="1"/>
    <n v="100"/>
    <x v="3"/>
    <x v="1"/>
    <x v="0"/>
    <x v="0"/>
  </r>
  <r>
    <n v="902"/>
    <s v="5eb91502c48732293d0a8e08"/>
    <n v="1"/>
    <x v="98"/>
    <n v="50"/>
    <n v="3.722"/>
    <n v="144"/>
    <n v="6"/>
    <n v="6"/>
    <n v="0"/>
    <n v="0"/>
    <n v="15"/>
    <m/>
    <m/>
    <x v="3"/>
    <x v="1"/>
    <x v="1"/>
    <x v="1"/>
  </r>
  <r>
    <n v="903"/>
    <s v="5d8c291ca1309429e32bb247"/>
    <n v="1"/>
    <x v="98"/>
    <n v="50"/>
    <n v="3.774"/>
    <n v="62"/>
    <n v="9"/>
    <n v="8"/>
    <n v="-12"/>
    <n v="-12"/>
    <n v="2"/>
    <m/>
    <m/>
    <x v="3"/>
    <x v="1"/>
    <x v="1"/>
    <x v="1"/>
  </r>
  <r>
    <n v="904"/>
    <s v="5abf82da22fad76f8c13b113"/>
    <n v="1"/>
    <x v="98"/>
    <n v="50"/>
    <n v="3.84"/>
    <n v="2647"/>
    <n v="12"/>
    <n v="11"/>
    <n v="-9"/>
    <n v="-9"/>
    <n v="17"/>
    <m/>
    <m/>
    <x v="3"/>
    <x v="1"/>
    <x v="1"/>
    <x v="1"/>
  </r>
  <r>
    <n v="905"/>
    <s v="58008d25047bed1ad1940bff"/>
    <n v="1"/>
    <x v="98"/>
    <n v="50"/>
    <n v="3.8610000000000002"/>
    <n v="4098"/>
    <n v="3.86"/>
    <n v="6"/>
    <n v="36"/>
    <n v="36"/>
    <n v="6"/>
    <m/>
    <m/>
    <x v="3"/>
    <x v="1"/>
    <x v="3"/>
    <x v="1"/>
  </r>
  <r>
    <n v="906"/>
    <s v="5e6a5f041511dc46c06eac19"/>
    <n v="1"/>
    <x v="98"/>
    <n v="50"/>
    <n v="3.8719999999999999"/>
    <n v="47"/>
    <n v="8"/>
    <n v="56"/>
    <n v="86"/>
    <n v="86"/>
    <n v="6"/>
    <n v="1"/>
    <n v="100"/>
    <x v="3"/>
    <x v="1"/>
    <x v="0"/>
    <x v="0"/>
  </r>
  <r>
    <n v="907"/>
    <s v="5aa24c9a22fad77bdfe2578b"/>
    <n v="1"/>
    <x v="98"/>
    <n v="50"/>
    <n v="3.9369999999999998"/>
    <n v="399"/>
    <n v="27"/>
    <n v="23"/>
    <n v="-17"/>
    <n v="-17"/>
    <n v="12"/>
    <m/>
    <m/>
    <x v="3"/>
    <x v="1"/>
    <x v="1"/>
    <x v="1"/>
  </r>
  <r>
    <n v="908"/>
    <s v="5d9163dcbffbb14190a52df7"/>
    <n v="1"/>
    <x v="98"/>
    <n v="50"/>
    <n v="3.98"/>
    <n v="249"/>
    <n v="8"/>
    <n v="7"/>
    <n v="-14"/>
    <n v="-14"/>
    <n v="7"/>
    <m/>
    <m/>
    <x v="3"/>
    <x v="1"/>
    <x v="1"/>
    <x v="1"/>
  </r>
  <r>
    <n v="909"/>
    <s v="597ff85721064f2607e253e9"/>
    <n v="1"/>
    <x v="98"/>
    <n v="50"/>
    <n v="4.01"/>
    <n v="401"/>
    <n v="25"/>
    <n v="38"/>
    <n v="35"/>
    <n v="35"/>
    <n v="6"/>
    <m/>
    <m/>
    <x v="3"/>
    <x v="0"/>
    <x v="3"/>
    <x v="1"/>
  </r>
  <r>
    <n v="910"/>
    <s v="58db59f4e40cc66d2bda1bc0"/>
    <n v="1"/>
    <x v="98"/>
    <n v="50"/>
    <n v="4.0940000000000003"/>
    <n v="14358"/>
    <n v="13"/>
    <n v="11"/>
    <n v="-18"/>
    <n v="-18"/>
    <n v="12"/>
    <m/>
    <m/>
    <x v="3"/>
    <x v="0"/>
    <x v="1"/>
    <x v="1"/>
  </r>
  <r>
    <n v="911"/>
    <s v="575ab2de20c8d15cb59e5ee0"/>
    <n v="1"/>
    <x v="98"/>
    <n v="50"/>
    <n v="4.12"/>
    <n v="8397"/>
    <n v="9"/>
    <n v="33"/>
    <n v="73"/>
    <n v="73"/>
    <n v="4"/>
    <m/>
    <m/>
    <x v="3"/>
    <x v="0"/>
    <x v="0"/>
    <x v="1"/>
  </r>
  <r>
    <n v="912"/>
    <s v="586378e04b60fe69e3335c5f"/>
    <n v="1"/>
    <x v="98"/>
    <n v="50"/>
    <n v="4.1280000000000001"/>
    <n v="2283"/>
    <n v="8"/>
    <n v="7"/>
    <n v="-14"/>
    <n v="-14"/>
    <n v="8"/>
    <m/>
    <m/>
    <x v="3"/>
    <x v="0"/>
    <x v="1"/>
    <x v="1"/>
  </r>
  <r>
    <n v="913"/>
    <s v="578caf669035dc557db297c0"/>
    <n v="1"/>
    <x v="98"/>
    <n v="50"/>
    <n v="4.16"/>
    <n v="19281"/>
    <n v="8"/>
    <n v="7"/>
    <n v="-14"/>
    <n v="-14"/>
    <n v="6"/>
    <n v="1"/>
    <n v="100"/>
    <x v="3"/>
    <x v="0"/>
    <x v="1"/>
    <x v="0"/>
  </r>
  <r>
    <n v="914"/>
    <s v="5e50b3e818034a49f8aeecdf"/>
    <n v="1"/>
    <x v="98"/>
    <n v="50"/>
    <n v="4.17"/>
    <n v="47"/>
    <n v="1"/>
    <n v="8"/>
    <n v="88"/>
    <n v="88"/>
    <n v="4"/>
    <m/>
    <m/>
    <x v="3"/>
    <x v="0"/>
    <x v="0"/>
    <x v="1"/>
  </r>
  <r>
    <n v="915"/>
    <s v="578aeb7316b2891a3a226c21"/>
    <n v="1"/>
    <x v="98"/>
    <n v="50"/>
    <n v="4.3230000000000004"/>
    <n v="5508"/>
    <n v="16"/>
    <n v="14"/>
    <n v="-14"/>
    <n v="-14"/>
    <n v="18"/>
    <m/>
    <m/>
    <x v="3"/>
    <x v="0"/>
    <x v="1"/>
    <x v="1"/>
  </r>
  <r>
    <n v="916"/>
    <s v="533e35e334067e3f0e7b05c5"/>
    <n v="1"/>
    <x v="98"/>
    <n v="50"/>
    <n v="4.3849999999999998"/>
    <n v="71919"/>
    <n v="12"/>
    <n v="17"/>
    <n v="30"/>
    <n v="30"/>
    <n v="18"/>
    <n v="1"/>
    <n v="100"/>
    <x v="3"/>
    <x v="0"/>
    <x v="3"/>
    <x v="0"/>
  </r>
  <r>
    <n v="917"/>
    <s v="58bd1048662f70531f3962df"/>
    <n v="1"/>
    <x v="98"/>
    <n v="50"/>
    <n v="4.4340000000000002"/>
    <n v="3063"/>
    <n v="16"/>
    <n v="14"/>
    <n v="-14"/>
    <n v="-14"/>
    <n v="2"/>
    <m/>
    <m/>
    <x v="3"/>
    <x v="0"/>
    <x v="1"/>
    <x v="1"/>
  </r>
  <r>
    <n v="918"/>
    <s v="5e61c817039ce2184a0ed392"/>
    <n v="3"/>
    <x v="99"/>
    <n v="10"/>
    <n v="3.548"/>
    <n v="31"/>
    <n v="16"/>
    <n v="14"/>
    <n v="-14"/>
    <n v="-14"/>
    <n v="3"/>
    <n v="1"/>
    <n v="33"/>
    <x v="3"/>
    <x v="1"/>
    <x v="1"/>
    <x v="0"/>
  </r>
  <r>
    <n v="919"/>
    <s v="5e71bc2ff2bef60050bd3a86"/>
    <n v="3"/>
    <x v="99"/>
    <n v="10"/>
    <n v="3.915"/>
    <n v="47"/>
    <n v="11"/>
    <n v="168"/>
    <n v="94"/>
    <n v="94"/>
    <n v="3"/>
    <n v="1"/>
    <n v="33"/>
    <x v="3"/>
    <x v="1"/>
    <x v="0"/>
    <x v="0"/>
  </r>
  <r>
    <n v="920"/>
    <s v="5d3aa36072b0c915fe6b8fbd"/>
    <n v="3"/>
    <x v="100"/>
    <n v="8"/>
    <n v="3.9169999999999998"/>
    <n v="626"/>
    <n v="8"/>
    <n v="68"/>
    <n v="89"/>
    <n v="89"/>
    <n v="0"/>
    <n v="1"/>
    <n v="33"/>
    <x v="3"/>
    <x v="1"/>
    <x v="0"/>
    <x v="0"/>
  </r>
  <r>
    <n v="921"/>
    <s v="5e2ecb9deed5087a7ba2f5f7"/>
    <n v="2"/>
    <x v="101"/>
    <n v="10"/>
    <n v="3.609"/>
    <n v="46"/>
    <n v="7"/>
    <n v="17"/>
    <n v="59"/>
    <n v="59"/>
    <n v="2"/>
    <m/>
    <m/>
    <x v="3"/>
    <x v="1"/>
    <x v="0"/>
    <x v="1"/>
  </r>
  <r>
    <n v="922"/>
    <s v="5e54d1d9e0d90e6488de48c2"/>
    <n v="2"/>
    <x v="101"/>
    <n v="10"/>
    <n v="3.6669999999999998"/>
    <n v="42"/>
    <n v="2"/>
    <n v="2"/>
    <n v="0"/>
    <n v="0"/>
    <n v="5"/>
    <n v="1"/>
    <n v="50"/>
    <x v="3"/>
    <x v="1"/>
    <x v="1"/>
    <x v="0"/>
  </r>
  <r>
    <n v="923"/>
    <s v="5d676dae88a10253b1781da6"/>
    <n v="2"/>
    <x v="101"/>
    <n v="10"/>
    <n v="3.6909999999999998"/>
    <n v="291"/>
    <n v="9"/>
    <n v="10"/>
    <n v="10"/>
    <n v="10"/>
    <n v="0"/>
    <n v="1"/>
    <n v="50"/>
    <x v="3"/>
    <x v="1"/>
    <x v="2"/>
    <x v="0"/>
  </r>
  <r>
    <n v="924"/>
    <s v="5e606b6e29e7867135073fbe"/>
    <n v="2"/>
    <x v="101"/>
    <n v="10"/>
    <n v="3.6920000000000002"/>
    <n v="13"/>
    <n v="2.67"/>
    <n v="67"/>
    <n v="97"/>
    <n v="97"/>
    <n v="0"/>
    <n v="1"/>
    <n v="50"/>
    <x v="3"/>
    <x v="1"/>
    <x v="0"/>
    <x v="0"/>
  </r>
  <r>
    <n v="925"/>
    <s v="5a3231f2e62bbc45b0bda1dd"/>
    <n v="2"/>
    <x v="101"/>
    <n v="10"/>
    <n v="3.8370000000000002"/>
    <n v="129"/>
    <n v="5"/>
    <n v="5"/>
    <n v="0"/>
    <n v="0"/>
    <n v="0"/>
    <n v="1"/>
    <n v="50"/>
    <x v="3"/>
    <x v="1"/>
    <x v="1"/>
    <x v="0"/>
  </r>
  <r>
    <n v="926"/>
    <s v="5d48eef4b5144c50c2ac0af3"/>
    <n v="2"/>
    <x v="101"/>
    <n v="10"/>
    <n v="3.859"/>
    <n v="397"/>
    <n v="7"/>
    <n v="68"/>
    <n v="90"/>
    <n v="90"/>
    <n v="2"/>
    <n v="1"/>
    <n v="50"/>
    <x v="3"/>
    <x v="1"/>
    <x v="0"/>
    <x v="0"/>
  </r>
  <r>
    <n v="927"/>
    <s v="5e63469b2fdc774466e15dd5"/>
    <n v="1"/>
    <x v="102"/>
    <n v="10"/>
    <n v="2.3330000000000002"/>
    <n v="3"/>
    <n v="5.75"/>
    <n v="5"/>
    <n v="-15"/>
    <n v="-15"/>
    <n v="0"/>
    <m/>
    <m/>
    <x v="3"/>
    <x v="2"/>
    <x v="1"/>
    <x v="1"/>
  </r>
  <r>
    <n v="928"/>
    <s v="5e4b9c3801ba9d210036fc5a"/>
    <n v="1"/>
    <x v="102"/>
    <n v="10"/>
    <n v="3.508"/>
    <n v="65"/>
    <n v="3.92"/>
    <n v="9"/>
    <n v="57"/>
    <n v="57"/>
    <n v="1"/>
    <m/>
    <m/>
    <x v="3"/>
    <x v="1"/>
    <x v="0"/>
    <x v="1"/>
  </r>
  <r>
    <n v="929"/>
    <s v="5df1cd2ecce7510b506fdba5"/>
    <n v="1"/>
    <x v="102"/>
    <n v="10"/>
    <n v="3.625"/>
    <n v="8"/>
    <n v="8"/>
    <n v="17"/>
    <n v="53"/>
    <n v="53"/>
    <n v="0"/>
    <n v="1"/>
    <n v="100"/>
    <x v="3"/>
    <x v="1"/>
    <x v="0"/>
    <x v="0"/>
  </r>
  <r>
    <n v="930"/>
    <s v="5a9d135128a2b361c3491a1e"/>
    <n v="1"/>
    <x v="102"/>
    <n v="10"/>
    <n v="3.76"/>
    <n v="1531"/>
    <n v="7"/>
    <n v="22"/>
    <n v="69"/>
    <n v="69"/>
    <n v="4"/>
    <m/>
    <m/>
    <x v="3"/>
    <x v="1"/>
    <x v="0"/>
    <x v="1"/>
  </r>
  <r>
    <n v="931"/>
    <s v="5e4f81dc968c88593150e98e"/>
    <n v="1"/>
    <x v="102"/>
    <n v="10"/>
    <n v="3.778"/>
    <n v="72"/>
    <n v="3.7"/>
    <n v="9"/>
    <n v="59"/>
    <n v="59"/>
    <n v="4"/>
    <n v="1"/>
    <n v="100"/>
    <x v="3"/>
    <x v="1"/>
    <x v="0"/>
    <x v="0"/>
  </r>
  <r>
    <n v="932"/>
    <s v="58c214fd95dc43508c12899c"/>
    <n v="1"/>
    <x v="102"/>
    <n v="10"/>
    <n v="3.81"/>
    <n v="4485"/>
    <n v="7"/>
    <n v="7"/>
    <n v="0"/>
    <n v="0"/>
    <n v="11"/>
    <n v="1"/>
    <n v="100"/>
    <x v="3"/>
    <x v="1"/>
    <x v="1"/>
    <x v="0"/>
  </r>
  <r>
    <n v="933"/>
    <s v="58d64937794a2b6db2f0394e"/>
    <n v="1"/>
    <x v="102"/>
    <n v="10"/>
    <n v="3.8730000000000002"/>
    <n v="528"/>
    <n v="11"/>
    <n v="70"/>
    <n v="85"/>
    <n v="85"/>
    <n v="2"/>
    <m/>
    <m/>
    <x v="3"/>
    <x v="1"/>
    <x v="0"/>
    <x v="1"/>
  </r>
  <r>
    <n v="934"/>
    <s v="5af917558699ce1103dd6010"/>
    <n v="1"/>
    <x v="102"/>
    <n v="10"/>
    <n v="3.875"/>
    <n v="514"/>
    <n v="14"/>
    <n v="12"/>
    <n v="-16"/>
    <n v="-16"/>
    <n v="2"/>
    <n v="1"/>
    <n v="100"/>
    <x v="3"/>
    <x v="1"/>
    <x v="1"/>
    <x v="0"/>
  </r>
  <r>
    <n v="935"/>
    <s v="59538ae253ebe2397fc85777"/>
    <n v="1"/>
    <x v="102"/>
    <n v="10"/>
    <n v="3.9590000000000001"/>
    <n v="5123"/>
    <n v="6"/>
    <n v="6"/>
    <n v="0"/>
    <n v="0"/>
    <n v="4"/>
    <m/>
    <m/>
    <x v="3"/>
    <x v="1"/>
    <x v="1"/>
    <x v="1"/>
  </r>
  <r>
    <n v="936"/>
    <s v="5d53751b40defd6833e480ad"/>
    <n v="1"/>
    <x v="102"/>
    <n v="10"/>
    <n v="4.008"/>
    <n v="238"/>
    <n v="12"/>
    <n v="67"/>
    <n v="83"/>
    <n v="83"/>
    <n v="3"/>
    <m/>
    <m/>
    <x v="3"/>
    <x v="0"/>
    <x v="0"/>
    <x v="1"/>
  </r>
  <r>
    <n v="937"/>
    <s v="5d5008cb1d9a8e750032d31b"/>
    <n v="1"/>
    <x v="102"/>
    <n v="10"/>
    <n v="4.0149999999999997"/>
    <n v="676"/>
    <n v="16"/>
    <n v="25"/>
    <n v="36"/>
    <n v="36"/>
    <n v="4"/>
    <m/>
    <m/>
    <x v="3"/>
    <x v="0"/>
    <x v="3"/>
    <x v="1"/>
  </r>
  <r>
    <n v="938"/>
    <s v="5aae608bdb5f1f42a93eaaed"/>
    <n v="1"/>
    <x v="102"/>
    <n v="10"/>
    <n v="4.0209999999999999"/>
    <n v="331"/>
    <n v="15"/>
    <n v="13"/>
    <n v="-15"/>
    <n v="-15"/>
    <n v="4"/>
    <m/>
    <m/>
    <x v="3"/>
    <x v="0"/>
    <x v="1"/>
    <x v="1"/>
  </r>
  <r>
    <n v="939"/>
    <s v="57c4dd2ce2a1b61c74c4265a"/>
    <n v="1"/>
    <x v="102"/>
    <n v="10"/>
    <n v="4.0369999999999999"/>
    <n v="28798"/>
    <n v="5.65"/>
    <n v="33"/>
    <n v="83"/>
    <n v="83"/>
    <n v="0"/>
    <n v="1"/>
    <n v="100"/>
    <x v="3"/>
    <x v="0"/>
    <x v="0"/>
    <x v="0"/>
  </r>
  <r>
    <n v="940"/>
    <s v="5466f5ea1280fa5c9c7ba98e"/>
    <n v="1"/>
    <x v="102"/>
    <n v="10"/>
    <n v="4.0419999999999998"/>
    <n v="3694"/>
    <n v="7"/>
    <n v="66"/>
    <n v="90"/>
    <n v="90"/>
    <n v="0"/>
    <m/>
    <m/>
    <x v="3"/>
    <x v="0"/>
    <x v="0"/>
    <x v="1"/>
  </r>
  <r>
    <n v="941"/>
    <s v="5de71b384c9c820a00c16efa"/>
    <n v="1"/>
    <x v="102"/>
    <n v="10"/>
    <n v="4.0620000000000003"/>
    <n v="193"/>
    <n v="7"/>
    <n v="7"/>
    <n v="0"/>
    <n v="0"/>
    <n v="0"/>
    <m/>
    <m/>
    <x v="3"/>
    <x v="0"/>
    <x v="1"/>
    <x v="1"/>
  </r>
  <r>
    <n v="942"/>
    <s v="592955ef980a346d826f7bfc"/>
    <n v="1"/>
    <x v="102"/>
    <n v="10"/>
    <n v="4.17"/>
    <n v="1496"/>
    <n v="8"/>
    <n v="33"/>
    <n v="76"/>
    <n v="76"/>
    <n v="0"/>
    <m/>
    <m/>
    <x v="3"/>
    <x v="0"/>
    <x v="0"/>
    <x v="1"/>
  </r>
  <r>
    <n v="943"/>
    <s v="569f3031b3d90139e3c5a407"/>
    <n v="1"/>
    <x v="102"/>
    <n v="10"/>
    <n v="4.173"/>
    <n v="9217"/>
    <n v="14"/>
    <n v="12"/>
    <n v="-16"/>
    <n v="-16"/>
    <n v="1"/>
    <m/>
    <m/>
    <x v="3"/>
    <x v="0"/>
    <x v="1"/>
    <x v="1"/>
  </r>
  <r>
    <n v="944"/>
    <s v="5d594543cf65033850311c11"/>
    <n v="1"/>
    <x v="102"/>
    <n v="10"/>
    <n v="4.2"/>
    <n v="60"/>
    <n v="3.71"/>
    <n v="5"/>
    <n v="26"/>
    <n v="26"/>
    <n v="1"/>
    <m/>
    <m/>
    <x v="3"/>
    <x v="0"/>
    <x v="3"/>
    <x v="1"/>
  </r>
  <r>
    <n v="945"/>
    <s v="56025ed8293a5b2d24779bde"/>
    <n v="1"/>
    <x v="102"/>
    <n v="10"/>
    <n v="4.2949999999999999"/>
    <n v="22621"/>
    <n v="11"/>
    <n v="30"/>
    <n v="64"/>
    <n v="64"/>
    <n v="0"/>
    <n v="1"/>
    <n v="100"/>
    <x v="3"/>
    <x v="0"/>
    <x v="0"/>
    <x v="0"/>
  </r>
  <r>
    <n v="946"/>
    <s v="538f4f18ab980a5167a1d722"/>
    <n v="1"/>
    <x v="102"/>
    <n v="10"/>
    <n v="4.3259999999999996"/>
    <n v="173992"/>
    <n v="8"/>
    <n v="7"/>
    <n v="-14"/>
    <n v="-14"/>
    <n v="2"/>
    <m/>
    <m/>
    <x v="3"/>
    <x v="0"/>
    <x v="1"/>
    <x v="1"/>
  </r>
  <r>
    <n v="947"/>
    <s v="56de96c70f2a81169f14fcde"/>
    <n v="1"/>
    <x v="102"/>
    <n v="10"/>
    <n v="4.4660000000000002"/>
    <n v="1442"/>
    <n v="16"/>
    <n v="14"/>
    <n v="-14"/>
    <n v="-14"/>
    <n v="0"/>
    <m/>
    <m/>
    <x v="3"/>
    <x v="0"/>
    <x v="1"/>
    <x v="1"/>
  </r>
  <r>
    <n v="948"/>
    <s v="574d559cb06e205d099d9107"/>
    <n v="1"/>
    <x v="102"/>
    <n v="10"/>
    <n v="4.5010000000000003"/>
    <n v="2038"/>
    <n v="18"/>
    <n v="59"/>
    <n v="70"/>
    <n v="70"/>
    <n v="6"/>
    <m/>
    <m/>
    <x v="3"/>
    <x v="3"/>
    <x v="0"/>
    <x v="1"/>
  </r>
  <r>
    <n v="949"/>
    <s v="5db248327c0d0800c24fc084"/>
    <n v="1"/>
    <x v="102"/>
    <n v="10"/>
    <n v="4.5129999999999999"/>
    <n v="160"/>
    <n v="5.68"/>
    <n v="5"/>
    <n v="-13"/>
    <n v="-13"/>
    <n v="2"/>
    <m/>
    <m/>
    <x v="3"/>
    <x v="3"/>
    <x v="1"/>
    <x v="1"/>
  </r>
  <r>
    <n v="950"/>
    <s v="54365c349719cd57af2b449b"/>
    <n v="1"/>
    <x v="103"/>
    <n v="8"/>
    <n v="3.9489999999999998"/>
    <n v="53225"/>
    <n v="7"/>
    <n v="31"/>
    <n v="78"/>
    <n v="78"/>
    <n v="0"/>
    <m/>
    <m/>
    <x v="3"/>
    <x v="1"/>
    <x v="0"/>
    <x v="1"/>
  </r>
  <r>
    <n v="951"/>
    <s v="581c54c4dd99164b808ca531"/>
    <n v="1"/>
    <x v="104"/>
    <n v="7"/>
    <n v="4.2489999999999997"/>
    <n v="6348"/>
    <n v="8"/>
    <n v="55"/>
    <n v="86"/>
    <n v="86"/>
    <n v="1"/>
    <m/>
    <m/>
    <x v="3"/>
    <x v="0"/>
    <x v="0"/>
    <x v="1"/>
  </r>
  <r>
    <n v="952"/>
    <s v="564d8f2f3a698c01d97fbb81"/>
    <n v="1"/>
    <x v="105"/>
    <n v="3"/>
    <n v="3.9910000000000001"/>
    <n v="11378"/>
    <n v="4.8099999999999996"/>
    <n v="30"/>
    <n v="84"/>
    <n v="84"/>
    <n v="0"/>
    <m/>
    <m/>
    <x v="3"/>
    <x v="1"/>
    <x v="0"/>
    <x v="1"/>
  </r>
  <r>
    <n v="953"/>
    <s v="567bad8582c35f28103e5813"/>
    <n v="1"/>
    <x v="106"/>
    <n v="2"/>
    <n v="3.9990000000000001"/>
    <n v="21307"/>
    <n v="11"/>
    <n v="10"/>
    <n v="-10"/>
    <n v="-10"/>
    <n v="1"/>
    <m/>
    <m/>
    <x v="3"/>
    <x v="1"/>
    <x v="1"/>
    <x v="1"/>
  </r>
  <r>
    <n v="954"/>
    <s v="5b24edf0d1c360301099e9c6"/>
    <n v="1"/>
    <x v="106"/>
    <n v="2"/>
    <n v="4.3029999999999999"/>
    <n v="693"/>
    <n v="16"/>
    <n v="16"/>
    <n v="0"/>
    <n v="0"/>
    <n v="0"/>
    <m/>
    <m/>
    <x v="3"/>
    <x v="0"/>
    <x v="1"/>
    <x v="1"/>
  </r>
  <r>
    <n v="955"/>
    <s v="5d417e7070327a2743021677"/>
    <n v="1"/>
    <x v="107"/>
    <n v="1"/>
    <n v="3.5979999999999999"/>
    <n v="378"/>
    <n v="2.72"/>
    <n v="9"/>
    <n v="70"/>
    <n v="70"/>
    <n v="0"/>
    <m/>
    <m/>
    <x v="3"/>
    <x v="1"/>
    <x v="0"/>
    <x v="1"/>
  </r>
  <r>
    <n v="956"/>
    <s v="5add589edb5f1f32114d07df"/>
    <n v="1"/>
    <x v="107"/>
    <n v="1"/>
    <n v="3.956"/>
    <n v="1134"/>
    <n v="14"/>
    <n v="14"/>
    <n v="0"/>
    <n v="0"/>
    <n v="0"/>
    <m/>
    <m/>
    <x v="3"/>
    <x v="1"/>
    <x v="1"/>
    <x v="1"/>
  </r>
  <r>
    <n v="957"/>
    <s v="5d4b8931933fb13f8a1fe232"/>
    <n v="1"/>
    <x v="107"/>
    <n v="1"/>
    <n v="4.0069999999999997"/>
    <n v="1380"/>
    <n v="11"/>
    <n v="30"/>
    <n v="64"/>
    <n v="64"/>
    <n v="0"/>
    <m/>
    <m/>
    <x v="3"/>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35930D-05C9-4AA4-8D73-FB558770086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Merchant_tiers">
  <location ref="A1:C6" firstHeaderRow="0" firstDataRow="1" firstDataCol="1"/>
  <pivotFields count="18">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items count="3">
        <item h="1" x="0"/>
        <item x="1"/>
        <item t="default"/>
      </items>
    </pivotField>
  </pivotFields>
  <rowFields count="1">
    <field x="14"/>
  </rowFields>
  <rowItems count="5">
    <i>
      <x v="1"/>
    </i>
    <i>
      <x v="2"/>
    </i>
    <i>
      <x/>
    </i>
    <i>
      <x v="3"/>
    </i>
    <i t="grand">
      <x/>
    </i>
  </rowItems>
  <colFields count="1">
    <field x="-2"/>
  </colFields>
  <colItems count="2">
    <i>
      <x/>
    </i>
    <i i="1">
      <x v="1"/>
    </i>
  </colItems>
  <dataFields count="2">
    <dataField name="Sum of totalunitssold" fld="3" baseField="0" baseItem="0"/>
    <dataField name="Count of merchantid" fld="1"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27F211-FA65-40E0-9D89-4A99B51BA5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iscount_stratorgy">
  <location ref="A1:B6" firstHeaderRow="1" firstDataRow="1" firstDataCol="1"/>
  <pivotFields count="18">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axis="axisRow" showAll="0">
      <items count="5">
        <item x="0"/>
        <item x="2"/>
        <item x="3"/>
        <item x="1"/>
        <item t="default"/>
      </items>
    </pivotField>
    <pivotField showAll="0"/>
  </pivotFields>
  <rowFields count="1">
    <field x="16"/>
  </rowFields>
  <rowItems count="5">
    <i>
      <x/>
    </i>
    <i>
      <x v="1"/>
    </i>
    <i>
      <x v="2"/>
    </i>
    <i>
      <x v="3"/>
    </i>
    <i t="grand">
      <x/>
    </i>
  </rowItems>
  <colItems count="1">
    <i/>
  </colItems>
  <dataFields count="1">
    <dataField name="Average of meanunitssoldperproduct" fld="4" subtotal="average" baseField="1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9FA589-22DF-4264-9318-1D5F372136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Urgency_status">
  <location ref="A1:C4" firstHeaderRow="0" firstDataRow="1" firstDataCol="1"/>
  <pivotFields count="18">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axis="axisRow" showAll="0">
      <items count="3">
        <item x="0"/>
        <item x="1"/>
        <item t="default"/>
      </items>
    </pivotField>
  </pivotFields>
  <rowFields count="1">
    <field x="17"/>
  </rowFields>
  <rowItems count="3">
    <i>
      <x/>
    </i>
    <i>
      <x v="1"/>
    </i>
    <i t="grand">
      <x/>
    </i>
  </rowItems>
  <colFields count="1">
    <field x="-2"/>
  </colFields>
  <colItems count="2">
    <i>
      <x/>
    </i>
    <i i="1">
      <x v="1"/>
    </i>
  </colItems>
  <dataFields count="2">
    <dataField name="Average of totalunitssold" fld="3" subtotal="average" baseField="17" baseItem="0"/>
    <dataField name="Average of rating" fld="5" subtotal="average" baseField="17"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7" count="1" selected="0">
            <x v="0"/>
          </reference>
        </references>
      </pivotArea>
    </chartFormat>
    <chartFormat chart="0" format="3">
      <pivotArea type="data" outline="0" fieldPosition="0">
        <references count="2">
          <reference field="4294967294" count="1" selected="0">
            <x v="0"/>
          </reference>
          <reference field="17" count="1" selected="0">
            <x v="1"/>
          </reference>
        </references>
      </pivotArea>
    </chartFormat>
    <chartFormat chart="0" format="4">
      <pivotArea type="data" outline="0" fieldPosition="0">
        <references count="2">
          <reference field="4294967294" count="1" selected="0">
            <x v="1"/>
          </reference>
          <reference field="17" count="1" selected="0">
            <x v="0"/>
          </reference>
        </references>
      </pivotArea>
    </chartFormat>
    <chartFormat chart="0" format="5">
      <pivotArea type="data" outline="0" fieldPosition="0">
        <references count="2">
          <reference field="4294967294" count="1" selected="0">
            <x v="1"/>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887EA2-5729-4B89-B5F8-FB38F91A465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18">
    <pivotField showAll="0"/>
    <pivotField dataField="1" showAll="0"/>
    <pivotField showAll="0"/>
    <pivotField dataField="1" showAll="0"/>
    <pivotField showAll="0"/>
    <pivotField dataField="1" showAll="0"/>
    <pivotField showAll="0"/>
    <pivotField showAll="0"/>
    <pivotField showAll="0"/>
    <pivotField showAll="0"/>
    <pivotField dataField="1" showAll="0"/>
    <pivotField showAll="0"/>
    <pivotField showAll="0"/>
    <pivotField showAll="0"/>
    <pivotField showAll="0"/>
    <pivotField showAll="0">
      <items count="5">
        <item x="1"/>
        <item x="3"/>
        <item x="0"/>
        <item x="2"/>
        <item t="default"/>
      </items>
    </pivotField>
    <pivotField showAll="0"/>
    <pivotField showAll="0"/>
  </pivotFields>
  <rowItems count="1">
    <i/>
  </rowItems>
  <colFields count="1">
    <field x="-2"/>
  </colFields>
  <colItems count="4">
    <i>
      <x/>
    </i>
    <i i="1">
      <x v="1"/>
    </i>
    <i i="2">
      <x v="2"/>
    </i>
    <i i="3">
      <x v="3"/>
    </i>
  </colItems>
  <dataFields count="4">
    <dataField name="Sum of totalunitssold" fld="3" baseField="0" baseItem="0"/>
    <dataField name="Average of rating" fld="5" subtotal="average" baseField="0" baseItem="1"/>
    <dataField name="Average of meandiscount" fld="10" subtotal="average" baseField="0" baseItem="1"/>
    <dataField name="Count of merchantid" fld="1"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67D29D-4E04-4182-9F59-ED5AA530CDC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erchant_Tiers">
  <location ref="C22:E27" firstHeaderRow="0" firstDataRow="1" firstDataCol="1"/>
  <pivotFields count="18">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1"/>
        <item x="0"/>
        <item x="2"/>
        <item t="default"/>
      </items>
    </pivotField>
    <pivotField showAll="0">
      <items count="5">
        <item x="1"/>
        <item x="3"/>
        <item x="0"/>
        <item x="2"/>
        <item t="default"/>
      </items>
    </pivotField>
    <pivotField showAll="0"/>
    <pivotField showAll="0">
      <items count="3">
        <item x="0"/>
        <item x="1"/>
        <item t="default"/>
      </items>
    </pivotField>
  </pivotFields>
  <rowFields count="1">
    <field x="14"/>
  </rowFields>
  <rowItems count="5">
    <i>
      <x/>
    </i>
    <i>
      <x v="1"/>
    </i>
    <i>
      <x v="2"/>
    </i>
    <i>
      <x v="3"/>
    </i>
    <i t="grand">
      <x/>
    </i>
  </rowItems>
  <colFields count="1">
    <field x="-2"/>
  </colFields>
  <colItems count="2">
    <i>
      <x/>
    </i>
    <i i="1">
      <x v="1"/>
    </i>
  </colItems>
  <dataFields count="2">
    <dataField name="Sum of totalunitssold" fld="3" baseField="0" baseItem="0"/>
    <dataField name="Count of merchantid" fld="1" subtotal="count" baseField="0" baseItem="0"/>
  </dataFields>
  <formats count="11">
    <format dxfId="15">
      <pivotArea dataOnly="0" fieldPosition="0">
        <references count="1">
          <reference field="14" count="0"/>
        </references>
      </pivotArea>
    </format>
    <format dxfId="14">
      <pivotArea field="14" type="button" dataOnly="0" labelOnly="1" outline="0" axis="axisRow" fieldPosition="0"/>
    </format>
    <format dxfId="13">
      <pivotArea dataOnly="0" labelOnly="1" outline="0" fieldPosition="0">
        <references count="1">
          <reference field="4294967294" count="2">
            <x v="0"/>
            <x v="1"/>
          </reference>
        </references>
      </pivotArea>
    </format>
    <format dxfId="12">
      <pivotArea dataOnly="0" grandRow="1" fieldPosition="0"/>
    </format>
    <format dxfId="11">
      <pivotArea field="14" type="button" dataOnly="0" labelOnly="1" outline="0" axis="axisRow" fieldPosition="0"/>
    </format>
    <format dxfId="10">
      <pivotArea dataOnly="0" labelOnly="1" outline="0" fieldPosition="0">
        <references count="1">
          <reference field="4294967294" count="2">
            <x v="0"/>
            <x v="1"/>
          </reference>
        </references>
      </pivotArea>
    </format>
    <format dxfId="9">
      <pivotArea field="14" dataOnly="0" grandRow="1" axis="axisRow" fieldPosition="0">
        <references count="1">
          <reference field="14" count="1">
            <x v="3"/>
          </reference>
        </references>
      </pivotArea>
    </format>
    <format dxfId="8">
      <pivotArea collapsedLevelsAreSubtotals="1" fieldPosition="0">
        <references count="1">
          <reference field="14" count="1">
            <x v="1"/>
          </reference>
        </references>
      </pivotArea>
    </format>
    <format dxfId="7">
      <pivotArea dataOnly="0" labelOnly="1" fieldPosition="0">
        <references count="1">
          <reference field="14" count="1">
            <x v="1"/>
          </reference>
        </references>
      </pivotArea>
    </format>
    <format dxfId="6">
      <pivotArea collapsedLevelsAreSubtotals="1" fieldPosition="0">
        <references count="1">
          <reference field="14" count="1">
            <x v="3"/>
          </reference>
        </references>
      </pivotArea>
    </format>
    <format dxfId="5">
      <pivotArea dataOnly="0" labelOnly="1" fieldPosition="0">
        <references count="1">
          <reference field="14" count="1">
            <x v="3"/>
          </reference>
        </references>
      </pivotArea>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agory1" xr10:uid="{1D2B1AA4-6A56-462A-9224-7A9A028BE690}" sourceName="Rating_Catagory">
  <pivotTables>
    <pivotTable tabId="12" name="PivotTable3"/>
    <pivotTable tabId="13" name="PivotTable4"/>
    <pivotTable tabId="11" name="PivotTable2"/>
    <pivotTable tabId="2" name="PivotTable1"/>
    <pivotTable tabId="14" name="PivotTable8"/>
  </pivotTables>
  <data>
    <tabular pivotCacheId="2089522177">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gency_status1" xr10:uid="{FA67799A-D5C0-4123-B177-C8406119D6CD}" sourceName="Urgency_status">
  <pivotTables>
    <pivotTable tabId="14" name="PivotTable8"/>
  </pivotTables>
  <data>
    <tabular pivotCacheId="208952217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_Catagory 1" xr10:uid="{C2609F3D-9C8E-4BA3-96EA-80868026041C}" cache="Slicer_Rating_Catagory1" caption="Rating_Catagory" style="Slicer Style 1" rowHeight="234950"/>
  <slicer name="Urgency_status 1" xr10:uid="{98192B03-873B-4A4A-A68A-B66BAA0FBAEF}" cache="Slicer_Urgency_status1" caption="Urgency_status"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46417C-4C22-4FCE-B70A-4CD147F8EDB5}" name="Computed_insight___Success_of_active_sellers__2" displayName="Computed_insight___Success_of_active_sellers__2" ref="A1:R959" totalsRowShown="0">
  <autoFilter ref="A1:R959" xr:uid="{AB46417C-4C22-4FCE-B70A-4CD147F8EDB5}"/>
  <tableColumns count="18">
    <tableColumn id="1" xr3:uid="{C24ECCA4-7714-42D6-95F6-CD591F9EF6D2}" name="index"/>
    <tableColumn id="2" xr3:uid="{F4A381C4-AF7F-4B84-9272-43D75CAC65C5}" name="merchantid" dataDxfId="4"/>
    <tableColumn id="3" xr3:uid="{BA0F1A82-11DE-4E6D-BEB7-BCC586CFC41D}" name="listedproducts"/>
    <tableColumn id="4" xr3:uid="{6A6DF263-01CC-468E-883E-F9AB4AA0E2E5}" name="totalunitssold"/>
    <tableColumn id="5" xr3:uid="{43C9D645-5B48-4AA3-BC96-14E797DD3EB1}" name="meanunitssoldperproduct"/>
    <tableColumn id="6" xr3:uid="{F3349A62-D71C-4F7F-8961-33BCAB6B1814}" name="rating"/>
    <tableColumn id="7" xr3:uid="{69679FA9-0480-4655-A29C-B306CD8FB461}" name="merchantratingscount"/>
    <tableColumn id="8" xr3:uid="{77CFDE58-E24F-4B39-A97F-004A72113656}" name="meanproductprices"/>
    <tableColumn id="9" xr3:uid="{45C89E6A-47BE-4EA4-87C3-00CDA7BE0E6A}" name="meanretailprices"/>
    <tableColumn id="10" xr3:uid="{3E1F3F7D-944F-44C7-8A75-2F6423B9CEAA}" name="averagediscount"/>
    <tableColumn id="11" xr3:uid="{A2D86403-8DF1-4888-9D50-DD4A57C3BF0B}" name="meandiscount"/>
    <tableColumn id="12" xr3:uid="{BE320519-0A9F-472E-A39F-E92546EB661B}" name="meanproductratingscount"/>
    <tableColumn id="13" xr3:uid="{E90F2C8C-BBDB-4D14-AA8D-F1CADE2E2825}" name="totalurgencycount"/>
    <tableColumn id="14" xr3:uid="{BD3FC5A8-EDA5-4212-A5FC-6039BBBCD990}" name="urgencytextrate"/>
    <tableColumn id="15" xr3:uid="{4031AAF1-FFFD-44FB-89E2-750912027664}" name="Merchant_tiers" dataDxfId="3">
      <calculatedColumnFormula array="1">_xlfn.IFS(Computed_insight___Success_of_active_sellers__2[[#This Row],[totalunitssold]]&gt;=20000, "Platinum ", Computed_insight___Success_of_active_sellers__2[[#This Row],[totalunitssold]]&gt;=5000, "Gold ", Computed_insight___Success_of_active_sellers__2[[#This Row],[totalunitssold]]&gt;=100, "Silver ", TRUE, "Bronze ")</calculatedColumnFormula>
    </tableColumn>
    <tableColumn id="16" xr3:uid="{B1CDA4CC-EB05-4249-9F96-2727053A9603}" name="Rating_Catagory" dataDxfId="2">
      <calculatedColumnFormula array="1">_xlfn.IFS(Computed_insight___Success_of_active_sellers__2[[#This Row],[rating]]&gt;=4.5, "Excellent ", Computed_insight___Success_of_active_sellers__2[[#This Row],[rating]]&gt;=4, "Good ", Computed_insight___Success_of_active_sellers__2[[#This Row],[rating]]&gt;=3.5, "Average", TRUE, "Poor ")</calculatedColumnFormula>
    </tableColumn>
    <tableColumn id="17" xr3:uid="{EF638052-1A1B-4BC3-9E55-1B90FBC49644}" name="Discount_Stratorgy" dataDxfId="1">
      <calculatedColumnFormula array="1">_xlfn.IFS(Computed_insight___Success_of_active_sellers__2[[#This Row],[meandiscount]]&gt;50, "High ", Computed_insight___Success_of_active_sellers__2[[#This Row],[meandiscount]]&gt;25, "Medium ", Computed_insight___Success_of_active_sellers__2[[#This Row],[meandiscount]]&gt;0, "Low ", TRUE, "No Discount")</calculatedColumnFormula>
    </tableColumn>
    <tableColumn id="18" xr3:uid="{022D573B-BA21-4541-A7B9-2EBCDB356FFA}" name="Urgency_status" dataDxfId="0">
      <calculatedColumnFormula>IF(Computed_insight___Success_of_active_sellers__2[[#This Row],[totalurgencycount]]&gt;0, "Has Banner", "No Banner")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ivotTable" Target="../pivotTables/pivotTable5.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8BF9-1B6B-49CC-BC76-6F010E2340DE}">
  <dimension ref="A1:R959"/>
  <sheetViews>
    <sheetView tabSelected="1" workbookViewId="0">
      <selection activeCell="O2" sqref="O2"/>
    </sheetView>
  </sheetViews>
  <sheetFormatPr defaultRowHeight="14.4" x14ac:dyDescent="0.3"/>
  <cols>
    <col min="1" max="1" width="7.77734375" bestFit="1" customWidth="1"/>
    <col min="2" max="2" width="25.44140625" bestFit="1" customWidth="1"/>
    <col min="3" max="3" width="15.109375" bestFit="1" customWidth="1"/>
    <col min="4" max="4" width="14.6640625" bestFit="1" customWidth="1"/>
    <col min="5" max="5" width="25.33203125" bestFit="1" customWidth="1"/>
    <col min="6" max="6" width="8.109375" bestFit="1" customWidth="1"/>
    <col min="7" max="7" width="22.109375" bestFit="1" customWidth="1"/>
    <col min="8" max="8" width="19.77734375" bestFit="1" customWidth="1"/>
    <col min="9" max="10" width="17.21875" bestFit="1" customWidth="1"/>
    <col min="11" max="11" width="15.33203125" bestFit="1" customWidth="1"/>
    <col min="12" max="12" width="25.5546875" bestFit="1" customWidth="1"/>
    <col min="13" max="13" width="18.88671875" bestFit="1" customWidth="1"/>
    <col min="14" max="14" width="16.6640625" bestFit="1" customWidth="1"/>
    <col min="15" max="15" width="16.109375" bestFit="1" customWidth="1"/>
    <col min="16" max="16" width="17.21875" bestFit="1" customWidth="1"/>
    <col min="17" max="17" width="19.5546875" bestFit="1" customWidth="1"/>
    <col min="18" max="18" width="16.33203125" bestFit="1" customWidth="1"/>
  </cols>
  <sheetData>
    <row r="1" spans="1:18" x14ac:dyDescent="0.3">
      <c r="A1" t="s">
        <v>0</v>
      </c>
      <c r="B1" t="s">
        <v>960</v>
      </c>
      <c r="C1" t="s">
        <v>961</v>
      </c>
      <c r="D1" t="s">
        <v>962</v>
      </c>
      <c r="E1" t="s">
        <v>963</v>
      </c>
      <c r="F1" t="s">
        <v>1</v>
      </c>
      <c r="G1" t="s">
        <v>964</v>
      </c>
      <c r="H1" t="s">
        <v>965</v>
      </c>
      <c r="I1" t="s">
        <v>966</v>
      </c>
      <c r="J1" t="s">
        <v>967</v>
      </c>
      <c r="K1" t="s">
        <v>968</v>
      </c>
      <c r="L1" t="s">
        <v>969</v>
      </c>
      <c r="M1" t="s">
        <v>970</v>
      </c>
      <c r="N1" t="s">
        <v>971</v>
      </c>
      <c r="O1" s="1" t="s">
        <v>972</v>
      </c>
      <c r="P1" s="1" t="s">
        <v>973</v>
      </c>
      <c r="Q1" s="1" t="s">
        <v>974</v>
      </c>
      <c r="R1" s="1" t="s">
        <v>975</v>
      </c>
    </row>
    <row r="2" spans="1:18" x14ac:dyDescent="0.3">
      <c r="A2">
        <v>0</v>
      </c>
      <c r="B2" t="s">
        <v>712</v>
      </c>
      <c r="C2">
        <v>2</v>
      </c>
      <c r="D2">
        <v>120000</v>
      </c>
      <c r="E2">
        <v>60000</v>
      </c>
      <c r="F2">
        <v>4.2190000000000003</v>
      </c>
      <c r="G2">
        <v>320031</v>
      </c>
      <c r="H2">
        <v>9</v>
      </c>
      <c r="I2">
        <v>20</v>
      </c>
      <c r="J2">
        <v>54</v>
      </c>
      <c r="K2">
        <v>54</v>
      </c>
      <c r="L2">
        <v>8836</v>
      </c>
      <c r="M2">
        <v>1</v>
      </c>
      <c r="N2">
        <v>50</v>
      </c>
      <c r="O2" s="2" t="str" cm="1">
        <f t="array" ref="O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2" s="2" t="str" cm="1">
        <f t="array" ref="P2">_xlfn.IFS(Computed_insight___Success_of_active_sellers__2[[#This Row],[rating]]&gt;=4.5, "Excellent ", Computed_insight___Success_of_active_sellers__2[[#This Row],[rating]]&gt;=4, "Good ", Computed_insight___Success_of_active_sellers__2[[#This Row],[rating]]&gt;=3.5, "Average", TRUE, "Poor ")</f>
        <v xml:space="preserve">Good </v>
      </c>
      <c r="Q2" s="2" t="str" cm="1">
        <f t="array" ref="Q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 s="2" t="str">
        <f>IF(Computed_insight___Success_of_active_sellers__2[[#This Row],[totalurgencycount]]&gt;0, "Has Banner", "No Banner")</f>
        <v>Has Banner</v>
      </c>
    </row>
    <row r="3" spans="1:18" x14ac:dyDescent="0.3">
      <c r="A3">
        <v>1</v>
      </c>
      <c r="B3" t="s">
        <v>19</v>
      </c>
      <c r="C3">
        <v>5</v>
      </c>
      <c r="D3">
        <v>107100</v>
      </c>
      <c r="E3">
        <v>21420</v>
      </c>
      <c r="F3">
        <v>3.9340000000000002</v>
      </c>
      <c r="G3">
        <v>139223</v>
      </c>
      <c r="H3">
        <v>7.76</v>
      </c>
      <c r="I3">
        <v>34.200000000000003</v>
      </c>
      <c r="J3">
        <v>61</v>
      </c>
      <c r="K3">
        <v>61</v>
      </c>
      <c r="L3">
        <v>4010</v>
      </c>
      <c r="M3">
        <v>3</v>
      </c>
      <c r="N3">
        <v>60</v>
      </c>
      <c r="O3" s="2" t="str" cm="1">
        <f t="array" ref="O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3" s="2" t="str" cm="1">
        <f t="array" ref="P3">_xlfn.IFS(Computed_insight___Success_of_active_sellers__2[[#This Row],[rating]]&gt;=4.5, "Excellent ", Computed_insight___Success_of_active_sellers__2[[#This Row],[rating]]&gt;=4, "Good ", Computed_insight___Success_of_active_sellers__2[[#This Row],[rating]]&gt;=3.5, "Average", TRUE, "Poor ")</f>
        <v>Average</v>
      </c>
      <c r="Q3" s="2" t="str" cm="1">
        <f t="array" ref="Q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 s="2" t="str">
        <f>IF(Computed_insight___Success_of_active_sellers__2[[#This Row],[totalurgencycount]]&gt;0, "Has Banner", "No Banner")</f>
        <v>Has Banner</v>
      </c>
    </row>
    <row r="4" spans="1:18" x14ac:dyDescent="0.3">
      <c r="A4">
        <v>2</v>
      </c>
      <c r="B4" t="s">
        <v>193</v>
      </c>
      <c r="C4">
        <v>2</v>
      </c>
      <c r="D4">
        <v>100007</v>
      </c>
      <c r="E4">
        <v>50004</v>
      </c>
      <c r="F4">
        <v>4.0529999999999999</v>
      </c>
      <c r="G4">
        <v>108048</v>
      </c>
      <c r="H4">
        <v>8</v>
      </c>
      <c r="I4">
        <v>8</v>
      </c>
      <c r="J4">
        <v>-1</v>
      </c>
      <c r="K4">
        <v>-1</v>
      </c>
      <c r="L4">
        <v>5531</v>
      </c>
      <c r="O4" s="2" t="str" cm="1">
        <f t="array" ref="O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4" s="2" t="str" cm="1">
        <f t="array" ref="P4">_xlfn.IFS(Computed_insight___Success_of_active_sellers__2[[#This Row],[rating]]&gt;=4.5, "Excellent ", Computed_insight___Success_of_active_sellers__2[[#This Row],[rating]]&gt;=4, "Good ", Computed_insight___Success_of_active_sellers__2[[#This Row],[rating]]&gt;=3.5, "Average", TRUE, "Poor ")</f>
        <v xml:space="preserve">Good </v>
      </c>
      <c r="Q4" s="2" t="str" cm="1">
        <f t="array" ref="Q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 s="2" t="str">
        <f>IF(Computed_insight___Success_of_active_sellers__2[[#This Row],[totalurgencycount]]&gt;0, "Has Banner", "No Banner")</f>
        <v>No Banner</v>
      </c>
    </row>
    <row r="5" spans="1:18" x14ac:dyDescent="0.3">
      <c r="A5">
        <v>3</v>
      </c>
      <c r="B5" t="s">
        <v>788</v>
      </c>
      <c r="C5">
        <v>1</v>
      </c>
      <c r="D5">
        <v>100000</v>
      </c>
      <c r="E5">
        <v>100000</v>
      </c>
      <c r="F5">
        <v>3.8889999999999998</v>
      </c>
      <c r="G5">
        <v>19248</v>
      </c>
      <c r="H5">
        <v>5.67</v>
      </c>
      <c r="I5">
        <v>19</v>
      </c>
      <c r="J5">
        <v>71</v>
      </c>
      <c r="K5">
        <v>71</v>
      </c>
      <c r="L5">
        <v>18393</v>
      </c>
      <c r="M5">
        <v>1</v>
      </c>
      <c r="N5">
        <v>100</v>
      </c>
      <c r="O5" s="2" t="str" cm="1">
        <f t="array" ref="O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5" s="2" t="str" cm="1">
        <f t="array" ref="P5">_xlfn.IFS(Computed_insight___Success_of_active_sellers__2[[#This Row],[rating]]&gt;=4.5, "Excellent ", Computed_insight___Success_of_active_sellers__2[[#This Row],[rating]]&gt;=4, "Good ", Computed_insight___Success_of_active_sellers__2[[#This Row],[rating]]&gt;=3.5, "Average", TRUE, "Poor ")</f>
        <v>Average</v>
      </c>
      <c r="Q5" s="2" t="str" cm="1">
        <f t="array" ref="Q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 s="2" t="str">
        <f>IF(Computed_insight___Success_of_active_sellers__2[[#This Row],[totalurgencycount]]&gt;0, "Has Banner", "No Banner")</f>
        <v>Has Banner</v>
      </c>
    </row>
    <row r="6" spans="1:18" x14ac:dyDescent="0.3">
      <c r="A6">
        <v>4</v>
      </c>
      <c r="B6" t="s">
        <v>224</v>
      </c>
      <c r="C6">
        <v>1</v>
      </c>
      <c r="D6">
        <v>100000</v>
      </c>
      <c r="E6">
        <v>100000</v>
      </c>
      <c r="F6">
        <v>4.0359999999999996</v>
      </c>
      <c r="G6">
        <v>366898</v>
      </c>
      <c r="H6">
        <v>5</v>
      </c>
      <c r="I6">
        <v>33</v>
      </c>
      <c r="J6">
        <v>85</v>
      </c>
      <c r="K6">
        <v>85</v>
      </c>
      <c r="L6">
        <v>13789</v>
      </c>
      <c r="O6" s="2" t="str" cm="1">
        <f t="array" ref="O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6" s="2" t="str" cm="1">
        <f t="array" ref="P6">_xlfn.IFS(Computed_insight___Success_of_active_sellers__2[[#This Row],[rating]]&gt;=4.5, "Excellent ", Computed_insight___Success_of_active_sellers__2[[#This Row],[rating]]&gt;=4, "Good ", Computed_insight___Success_of_active_sellers__2[[#This Row],[rating]]&gt;=3.5, "Average", TRUE, "Poor ")</f>
        <v xml:space="preserve">Good </v>
      </c>
      <c r="Q6" s="2" t="str" cm="1">
        <f t="array" ref="Q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 s="2" t="str">
        <f>IF(Computed_insight___Success_of_active_sellers__2[[#This Row],[totalurgencycount]]&gt;0, "Has Banner", "No Banner")</f>
        <v>No Banner</v>
      </c>
    </row>
    <row r="7" spans="1:18" x14ac:dyDescent="0.3">
      <c r="A7">
        <v>5</v>
      </c>
      <c r="B7" t="s">
        <v>88</v>
      </c>
      <c r="C7">
        <v>1</v>
      </c>
      <c r="D7">
        <v>100000</v>
      </c>
      <c r="E7">
        <v>100000</v>
      </c>
      <c r="F7">
        <v>4.0670000000000002</v>
      </c>
      <c r="G7">
        <v>330405</v>
      </c>
      <c r="H7">
        <v>5.77</v>
      </c>
      <c r="I7">
        <v>48</v>
      </c>
      <c r="J7">
        <v>88</v>
      </c>
      <c r="K7">
        <v>88</v>
      </c>
      <c r="L7">
        <v>20744</v>
      </c>
      <c r="O7" s="2" t="str" cm="1">
        <f t="array" ref="O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7" s="2" t="str" cm="1">
        <f t="array" ref="P7">_xlfn.IFS(Computed_insight___Success_of_active_sellers__2[[#This Row],[rating]]&gt;=4.5, "Excellent ", Computed_insight___Success_of_active_sellers__2[[#This Row],[rating]]&gt;=4, "Good ", Computed_insight___Success_of_active_sellers__2[[#This Row],[rating]]&gt;=3.5, "Average", TRUE, "Poor ")</f>
        <v xml:space="preserve">Good </v>
      </c>
      <c r="Q7" s="2" t="str" cm="1">
        <f t="array" ref="Q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 s="2" t="str">
        <f>IF(Computed_insight___Success_of_active_sellers__2[[#This Row],[totalurgencycount]]&gt;0, "Has Banner", "No Banner")</f>
        <v>No Banner</v>
      </c>
    </row>
    <row r="8" spans="1:18" x14ac:dyDescent="0.3">
      <c r="A8">
        <v>6</v>
      </c>
      <c r="B8" t="s">
        <v>16</v>
      </c>
      <c r="C8">
        <v>7</v>
      </c>
      <c r="D8">
        <v>96000</v>
      </c>
      <c r="E8">
        <v>13714</v>
      </c>
      <c r="F8">
        <v>4.1390000000000002</v>
      </c>
      <c r="G8">
        <v>55499</v>
      </c>
      <c r="H8">
        <v>6.69</v>
      </c>
      <c r="I8">
        <v>6.29</v>
      </c>
      <c r="J8">
        <v>-4</v>
      </c>
      <c r="K8">
        <v>-3.86</v>
      </c>
      <c r="L8">
        <v>2250</v>
      </c>
      <c r="M8">
        <v>1</v>
      </c>
      <c r="N8">
        <v>14</v>
      </c>
      <c r="O8" s="2" t="str" cm="1">
        <f t="array" ref="O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8" s="2" t="str" cm="1">
        <f t="array" ref="P8">_xlfn.IFS(Computed_insight___Success_of_active_sellers__2[[#This Row],[rating]]&gt;=4.5, "Excellent ", Computed_insight___Success_of_active_sellers__2[[#This Row],[rating]]&gt;=4, "Good ", Computed_insight___Success_of_active_sellers__2[[#This Row],[rating]]&gt;=3.5, "Average", TRUE, "Poor ")</f>
        <v xml:space="preserve">Good </v>
      </c>
      <c r="Q8" s="2" t="str" cm="1">
        <f t="array" ref="Q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 s="2" t="str">
        <f>IF(Computed_insight___Success_of_active_sellers__2[[#This Row],[totalurgencycount]]&gt;0, "Has Banner", "No Banner")</f>
        <v>Has Banner</v>
      </c>
    </row>
    <row r="9" spans="1:18" x14ac:dyDescent="0.3">
      <c r="A9">
        <v>7</v>
      </c>
      <c r="B9" t="s">
        <v>320</v>
      </c>
      <c r="C9">
        <v>4</v>
      </c>
      <c r="D9">
        <v>90100</v>
      </c>
      <c r="E9">
        <v>22525</v>
      </c>
      <c r="F9">
        <v>4.0490000000000004</v>
      </c>
      <c r="G9">
        <v>151249</v>
      </c>
      <c r="H9">
        <v>3.43</v>
      </c>
      <c r="I9">
        <v>3.75</v>
      </c>
      <c r="J9">
        <v>11</v>
      </c>
      <c r="K9">
        <v>11</v>
      </c>
      <c r="L9">
        <v>6290</v>
      </c>
      <c r="M9">
        <v>2</v>
      </c>
      <c r="N9">
        <v>50</v>
      </c>
      <c r="O9" s="2" t="str" cm="1">
        <f t="array" ref="O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9" s="2" t="str" cm="1">
        <f t="array" ref="P9">_xlfn.IFS(Computed_insight___Success_of_active_sellers__2[[#This Row],[rating]]&gt;=4.5, "Excellent ", Computed_insight___Success_of_active_sellers__2[[#This Row],[rating]]&gt;=4, "Good ", Computed_insight___Success_of_active_sellers__2[[#This Row],[rating]]&gt;=3.5, "Average", TRUE, "Poor ")</f>
        <v xml:space="preserve">Good </v>
      </c>
      <c r="Q9" s="2" t="str" cm="1">
        <f t="array" ref="Q9">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9" s="2" t="str">
        <f>IF(Computed_insight___Success_of_active_sellers__2[[#This Row],[totalurgencycount]]&gt;0, "Has Banner", "No Banner")</f>
        <v>Has Banner</v>
      </c>
    </row>
    <row r="10" spans="1:18" x14ac:dyDescent="0.3">
      <c r="A10">
        <v>8</v>
      </c>
      <c r="B10" t="s">
        <v>415</v>
      </c>
      <c r="C10">
        <v>3</v>
      </c>
      <c r="D10">
        <v>80000</v>
      </c>
      <c r="E10">
        <v>26667</v>
      </c>
      <c r="F10">
        <v>4.1040000000000001</v>
      </c>
      <c r="G10">
        <v>839882</v>
      </c>
      <c r="H10">
        <v>7.22</v>
      </c>
      <c r="I10">
        <v>14.67</v>
      </c>
      <c r="J10">
        <v>33</v>
      </c>
      <c r="K10">
        <v>33.33</v>
      </c>
      <c r="L10">
        <v>6136</v>
      </c>
      <c r="M10">
        <v>1</v>
      </c>
      <c r="N10">
        <v>33</v>
      </c>
      <c r="O10" s="2" t="str" cm="1">
        <f t="array" ref="O1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0" s="2" t="str" cm="1">
        <f t="array" ref="P10">_xlfn.IFS(Computed_insight___Success_of_active_sellers__2[[#This Row],[rating]]&gt;=4.5, "Excellent ", Computed_insight___Success_of_active_sellers__2[[#This Row],[rating]]&gt;=4, "Good ", Computed_insight___Success_of_active_sellers__2[[#This Row],[rating]]&gt;=3.5, "Average", TRUE, "Poor ")</f>
        <v xml:space="preserve">Good </v>
      </c>
      <c r="Q10" s="2" t="str" cm="1">
        <f t="array" ref="Q10">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10" s="2" t="str">
        <f>IF(Computed_insight___Success_of_active_sellers__2[[#This Row],[totalurgencycount]]&gt;0, "Has Banner", "No Banner")</f>
        <v>Has Banner</v>
      </c>
    </row>
    <row r="11" spans="1:18" x14ac:dyDescent="0.3">
      <c r="A11">
        <v>9</v>
      </c>
      <c r="B11" t="s">
        <v>86</v>
      </c>
      <c r="C11">
        <v>5</v>
      </c>
      <c r="D11">
        <v>80000</v>
      </c>
      <c r="E11">
        <v>16000</v>
      </c>
      <c r="F11">
        <v>3.9660000000000002</v>
      </c>
      <c r="G11">
        <v>12974</v>
      </c>
      <c r="H11">
        <v>8.4</v>
      </c>
      <c r="I11">
        <v>7.8</v>
      </c>
      <c r="J11">
        <v>-7</v>
      </c>
      <c r="K11">
        <v>-6.8</v>
      </c>
      <c r="L11">
        <v>2093</v>
      </c>
      <c r="M11">
        <v>1</v>
      </c>
      <c r="N11">
        <v>20</v>
      </c>
      <c r="O11" s="2" t="str" cm="1">
        <f t="array" ref="O1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1" s="2" t="str" cm="1">
        <f t="array" ref="P11">_xlfn.IFS(Computed_insight___Success_of_active_sellers__2[[#This Row],[rating]]&gt;=4.5, "Excellent ", Computed_insight___Success_of_active_sellers__2[[#This Row],[rating]]&gt;=4, "Good ", Computed_insight___Success_of_active_sellers__2[[#This Row],[rating]]&gt;=3.5, "Average", TRUE, "Poor ")</f>
        <v>Average</v>
      </c>
      <c r="Q11" s="2" t="str" cm="1">
        <f t="array" ref="Q1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1" s="2" t="str">
        <f>IF(Computed_insight___Success_of_active_sellers__2[[#This Row],[totalurgencycount]]&gt;0, "Has Banner", "No Banner")</f>
        <v>Has Banner</v>
      </c>
    </row>
    <row r="12" spans="1:18" x14ac:dyDescent="0.3">
      <c r="A12">
        <v>10</v>
      </c>
      <c r="B12" t="s">
        <v>308</v>
      </c>
      <c r="C12">
        <v>3</v>
      </c>
      <c r="D12">
        <v>75000</v>
      </c>
      <c r="E12">
        <v>25000</v>
      </c>
      <c r="F12">
        <v>4.2560000000000002</v>
      </c>
      <c r="G12">
        <v>165915</v>
      </c>
      <c r="H12">
        <v>13.33</v>
      </c>
      <c r="I12">
        <v>100.33</v>
      </c>
      <c r="J12">
        <v>86</v>
      </c>
      <c r="K12">
        <v>86</v>
      </c>
      <c r="L12">
        <v>4007</v>
      </c>
      <c r="M12">
        <v>1</v>
      </c>
      <c r="N12">
        <v>33</v>
      </c>
      <c r="O12" s="2" t="str" cm="1">
        <f t="array" ref="O1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2" s="2" t="str" cm="1">
        <f t="array" ref="P12">_xlfn.IFS(Computed_insight___Success_of_active_sellers__2[[#This Row],[rating]]&gt;=4.5, "Excellent ", Computed_insight___Success_of_active_sellers__2[[#This Row],[rating]]&gt;=4, "Good ", Computed_insight___Success_of_active_sellers__2[[#This Row],[rating]]&gt;=3.5, "Average", TRUE, "Poor ")</f>
        <v xml:space="preserve">Good </v>
      </c>
      <c r="Q12" s="2" t="str" cm="1">
        <f t="array" ref="Q1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2" s="2" t="str">
        <f>IF(Computed_insight___Success_of_active_sellers__2[[#This Row],[totalurgencycount]]&gt;0, "Has Banner", "No Banner")</f>
        <v>Has Banner</v>
      </c>
    </row>
    <row r="13" spans="1:18" x14ac:dyDescent="0.3">
      <c r="A13">
        <v>11</v>
      </c>
      <c r="B13" t="s">
        <v>32</v>
      </c>
      <c r="C13">
        <v>4</v>
      </c>
      <c r="D13">
        <v>71100</v>
      </c>
      <c r="E13">
        <v>17775</v>
      </c>
      <c r="F13">
        <v>3.968</v>
      </c>
      <c r="G13">
        <v>51369</v>
      </c>
      <c r="H13">
        <v>11.5</v>
      </c>
      <c r="I13">
        <v>86.25</v>
      </c>
      <c r="J13">
        <v>87</v>
      </c>
      <c r="K13">
        <v>87.25</v>
      </c>
      <c r="L13">
        <v>6491</v>
      </c>
      <c r="M13">
        <v>2</v>
      </c>
      <c r="N13">
        <v>50</v>
      </c>
      <c r="O13" s="2" t="str" cm="1">
        <f t="array" ref="O1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3" s="2" t="str" cm="1">
        <f t="array" ref="P13">_xlfn.IFS(Computed_insight___Success_of_active_sellers__2[[#This Row],[rating]]&gt;=4.5, "Excellent ", Computed_insight___Success_of_active_sellers__2[[#This Row],[rating]]&gt;=4, "Good ", Computed_insight___Success_of_active_sellers__2[[#This Row],[rating]]&gt;=3.5, "Average", TRUE, "Poor ")</f>
        <v>Average</v>
      </c>
      <c r="Q13" s="2" t="str" cm="1">
        <f t="array" ref="Q1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3" s="2" t="str">
        <f>IF(Computed_insight___Success_of_active_sellers__2[[#This Row],[totalurgencycount]]&gt;0, "Has Banner", "No Banner")</f>
        <v>Has Banner</v>
      </c>
    </row>
    <row r="14" spans="1:18" x14ac:dyDescent="0.3">
      <c r="A14">
        <v>12</v>
      </c>
      <c r="B14" t="s">
        <v>77</v>
      </c>
      <c r="C14">
        <v>6</v>
      </c>
      <c r="D14">
        <v>63100</v>
      </c>
      <c r="E14">
        <v>10517</v>
      </c>
      <c r="F14">
        <v>4.1470000000000002</v>
      </c>
      <c r="G14">
        <v>126370</v>
      </c>
      <c r="H14">
        <v>3.61</v>
      </c>
      <c r="I14">
        <v>3.33</v>
      </c>
      <c r="J14">
        <v>-4</v>
      </c>
      <c r="K14">
        <v>-4.17</v>
      </c>
      <c r="L14">
        <v>3292</v>
      </c>
      <c r="M14">
        <v>1</v>
      </c>
      <c r="N14">
        <v>17</v>
      </c>
      <c r="O14" s="2" t="str" cm="1">
        <f t="array" ref="O1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4" s="2" t="str" cm="1">
        <f t="array" ref="P14">_xlfn.IFS(Computed_insight___Success_of_active_sellers__2[[#This Row],[rating]]&gt;=4.5, "Excellent ", Computed_insight___Success_of_active_sellers__2[[#This Row],[rating]]&gt;=4, "Good ", Computed_insight___Success_of_active_sellers__2[[#This Row],[rating]]&gt;=3.5, "Average", TRUE, "Poor ")</f>
        <v xml:space="preserve">Good </v>
      </c>
      <c r="Q14" s="2" t="str" cm="1">
        <f t="array" ref="Q1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4" s="2" t="str">
        <f>IF(Computed_insight___Success_of_active_sellers__2[[#This Row],[totalurgencycount]]&gt;0, "Has Banner", "No Banner")</f>
        <v>Has Banner</v>
      </c>
    </row>
    <row r="15" spans="1:18" x14ac:dyDescent="0.3">
      <c r="A15">
        <v>13</v>
      </c>
      <c r="B15" t="s">
        <v>451</v>
      </c>
      <c r="C15">
        <v>3</v>
      </c>
      <c r="D15">
        <v>61000</v>
      </c>
      <c r="E15">
        <v>20333</v>
      </c>
      <c r="F15">
        <v>4.1790000000000003</v>
      </c>
      <c r="G15">
        <v>17816</v>
      </c>
      <c r="H15">
        <v>8.67</v>
      </c>
      <c r="I15">
        <v>8</v>
      </c>
      <c r="J15">
        <v>-8</v>
      </c>
      <c r="K15">
        <v>-8</v>
      </c>
      <c r="L15">
        <v>5086</v>
      </c>
      <c r="M15">
        <v>1</v>
      </c>
      <c r="N15">
        <v>33</v>
      </c>
      <c r="O15" s="2" t="str" cm="1">
        <f t="array" ref="O1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5" s="2" t="str" cm="1">
        <f t="array" ref="P15">_xlfn.IFS(Computed_insight___Success_of_active_sellers__2[[#This Row],[rating]]&gt;=4.5, "Excellent ", Computed_insight___Success_of_active_sellers__2[[#This Row],[rating]]&gt;=4, "Good ", Computed_insight___Success_of_active_sellers__2[[#This Row],[rating]]&gt;=3.5, "Average", TRUE, "Poor ")</f>
        <v xml:space="preserve">Good </v>
      </c>
      <c r="Q15" s="2" t="str" cm="1">
        <f t="array" ref="Q1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5" s="2" t="str">
        <f>IF(Computed_insight___Success_of_active_sellers__2[[#This Row],[totalurgencycount]]&gt;0, "Has Banner", "No Banner")</f>
        <v>Has Banner</v>
      </c>
    </row>
    <row r="16" spans="1:18" x14ac:dyDescent="0.3">
      <c r="A16">
        <v>14</v>
      </c>
      <c r="B16" t="s">
        <v>438</v>
      </c>
      <c r="C16">
        <v>4</v>
      </c>
      <c r="D16">
        <v>60100</v>
      </c>
      <c r="E16">
        <v>15025</v>
      </c>
      <c r="F16">
        <v>4.1280000000000001</v>
      </c>
      <c r="G16">
        <v>151914</v>
      </c>
      <c r="H16">
        <v>12.5</v>
      </c>
      <c r="I16">
        <v>83</v>
      </c>
      <c r="J16">
        <v>86</v>
      </c>
      <c r="K16">
        <v>85.5</v>
      </c>
      <c r="L16">
        <v>2517</v>
      </c>
      <c r="O16" s="2" t="str" cm="1">
        <f t="array" ref="O1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6" s="2" t="str" cm="1">
        <f t="array" ref="P16">_xlfn.IFS(Computed_insight___Success_of_active_sellers__2[[#This Row],[rating]]&gt;=4.5, "Excellent ", Computed_insight___Success_of_active_sellers__2[[#This Row],[rating]]&gt;=4, "Good ", Computed_insight___Success_of_active_sellers__2[[#This Row],[rating]]&gt;=3.5, "Average", TRUE, "Poor ")</f>
        <v xml:space="preserve">Good </v>
      </c>
      <c r="Q16" s="2" t="str" cm="1">
        <f t="array" ref="Q1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6" s="2" t="str">
        <f>IF(Computed_insight___Success_of_active_sellers__2[[#This Row],[totalurgencycount]]&gt;0, "Has Banner", "No Banner")</f>
        <v>No Banner</v>
      </c>
    </row>
    <row r="17" spans="1:18" x14ac:dyDescent="0.3">
      <c r="A17">
        <v>15</v>
      </c>
      <c r="B17" t="s">
        <v>417</v>
      </c>
      <c r="C17">
        <v>3</v>
      </c>
      <c r="D17">
        <v>60000</v>
      </c>
      <c r="E17">
        <v>20000</v>
      </c>
      <c r="F17">
        <v>4.157</v>
      </c>
      <c r="G17">
        <v>402743</v>
      </c>
      <c r="H17">
        <v>9</v>
      </c>
      <c r="I17">
        <v>114</v>
      </c>
      <c r="J17">
        <v>58</v>
      </c>
      <c r="K17">
        <v>57.67</v>
      </c>
      <c r="L17">
        <v>3986</v>
      </c>
      <c r="M17">
        <v>1</v>
      </c>
      <c r="N17">
        <v>33</v>
      </c>
      <c r="O17" s="2" t="str" cm="1">
        <f t="array" ref="O1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7" s="2" t="str" cm="1">
        <f t="array" ref="P17">_xlfn.IFS(Computed_insight___Success_of_active_sellers__2[[#This Row],[rating]]&gt;=4.5, "Excellent ", Computed_insight___Success_of_active_sellers__2[[#This Row],[rating]]&gt;=4, "Good ", Computed_insight___Success_of_active_sellers__2[[#This Row],[rating]]&gt;=3.5, "Average", TRUE, "Poor ")</f>
        <v xml:space="preserve">Good </v>
      </c>
      <c r="Q17" s="2" t="str" cm="1">
        <f t="array" ref="Q1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7" s="2" t="str">
        <f>IF(Computed_insight___Success_of_active_sellers__2[[#This Row],[totalurgencycount]]&gt;0, "Has Banner", "No Banner")</f>
        <v>Has Banner</v>
      </c>
    </row>
    <row r="18" spans="1:18" x14ac:dyDescent="0.3">
      <c r="A18">
        <v>16</v>
      </c>
      <c r="B18" t="s">
        <v>449</v>
      </c>
      <c r="C18">
        <v>3</v>
      </c>
      <c r="D18">
        <v>60000</v>
      </c>
      <c r="E18">
        <v>20000</v>
      </c>
      <c r="F18">
        <v>4.3869999999999996</v>
      </c>
      <c r="G18">
        <v>18910</v>
      </c>
      <c r="H18">
        <v>16.329999999999998</v>
      </c>
      <c r="I18">
        <v>14.33</v>
      </c>
      <c r="J18">
        <v>-14</v>
      </c>
      <c r="K18">
        <v>-13.67</v>
      </c>
      <c r="L18">
        <v>3708</v>
      </c>
      <c r="O18" s="2" t="str" cm="1">
        <f t="array" ref="O1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8" s="2" t="str" cm="1">
        <f t="array" ref="P18">_xlfn.IFS(Computed_insight___Success_of_active_sellers__2[[#This Row],[rating]]&gt;=4.5, "Excellent ", Computed_insight___Success_of_active_sellers__2[[#This Row],[rating]]&gt;=4, "Good ", Computed_insight___Success_of_active_sellers__2[[#This Row],[rating]]&gt;=3.5, "Average", TRUE, "Poor ")</f>
        <v xml:space="preserve">Good </v>
      </c>
      <c r="Q18" s="2" t="str" cm="1">
        <f t="array" ref="Q1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8" s="2" t="str">
        <f>IF(Computed_insight___Success_of_active_sellers__2[[#This Row],[totalurgencycount]]&gt;0, "Has Banner", "No Banner")</f>
        <v>No Banner</v>
      </c>
    </row>
    <row r="19" spans="1:18" x14ac:dyDescent="0.3">
      <c r="A19">
        <v>17</v>
      </c>
      <c r="B19" t="s">
        <v>90</v>
      </c>
      <c r="C19">
        <v>15</v>
      </c>
      <c r="D19">
        <v>58500</v>
      </c>
      <c r="E19">
        <v>3900</v>
      </c>
      <c r="F19">
        <v>3.8849999999999998</v>
      </c>
      <c r="G19">
        <v>32168</v>
      </c>
      <c r="H19">
        <v>4.18</v>
      </c>
      <c r="I19">
        <v>4.13</v>
      </c>
      <c r="J19">
        <v>1</v>
      </c>
      <c r="K19">
        <v>1.2</v>
      </c>
      <c r="L19">
        <v>749</v>
      </c>
      <c r="M19">
        <v>6</v>
      </c>
      <c r="N19">
        <v>40</v>
      </c>
      <c r="O19" s="2" t="str" cm="1">
        <f t="array" ref="O1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9" s="2" t="str" cm="1">
        <f t="array" ref="P19">_xlfn.IFS(Computed_insight___Success_of_active_sellers__2[[#This Row],[rating]]&gt;=4.5, "Excellent ", Computed_insight___Success_of_active_sellers__2[[#This Row],[rating]]&gt;=4, "Good ", Computed_insight___Success_of_active_sellers__2[[#This Row],[rating]]&gt;=3.5, "Average", TRUE, "Poor ")</f>
        <v>Average</v>
      </c>
      <c r="Q19" s="2" t="str" cm="1">
        <f t="array" ref="Q19">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19" s="2" t="str">
        <f>IF(Computed_insight___Success_of_active_sellers__2[[#This Row],[totalurgencycount]]&gt;0, "Has Banner", "No Banner")</f>
        <v>Has Banner</v>
      </c>
    </row>
    <row r="20" spans="1:18" x14ac:dyDescent="0.3">
      <c r="A20">
        <v>18</v>
      </c>
      <c r="B20" t="s">
        <v>69</v>
      </c>
      <c r="C20">
        <v>6</v>
      </c>
      <c r="D20">
        <v>55200</v>
      </c>
      <c r="E20">
        <v>9200</v>
      </c>
      <c r="F20">
        <v>4.1210000000000004</v>
      </c>
      <c r="G20">
        <v>55670</v>
      </c>
      <c r="H20">
        <v>5.39</v>
      </c>
      <c r="I20">
        <v>5.17</v>
      </c>
      <c r="J20">
        <v>-3</v>
      </c>
      <c r="K20">
        <v>-2.67</v>
      </c>
      <c r="L20">
        <v>1141</v>
      </c>
      <c r="M20">
        <v>2</v>
      </c>
      <c r="N20">
        <v>33</v>
      </c>
      <c r="O20" s="2" t="str" cm="1">
        <f t="array" ref="O2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20" s="2" t="str" cm="1">
        <f t="array" ref="P20">_xlfn.IFS(Computed_insight___Success_of_active_sellers__2[[#This Row],[rating]]&gt;=4.5, "Excellent ", Computed_insight___Success_of_active_sellers__2[[#This Row],[rating]]&gt;=4, "Good ", Computed_insight___Success_of_active_sellers__2[[#This Row],[rating]]&gt;=3.5, "Average", TRUE, "Poor ")</f>
        <v xml:space="preserve">Good </v>
      </c>
      <c r="Q20" s="2" t="str" cm="1">
        <f t="array" ref="Q2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0" s="2" t="str">
        <f>IF(Computed_insight___Success_of_active_sellers__2[[#This Row],[totalurgencycount]]&gt;0, "Has Banner", "No Banner")</f>
        <v>Has Banner</v>
      </c>
    </row>
    <row r="21" spans="1:18" x14ac:dyDescent="0.3">
      <c r="A21">
        <v>19</v>
      </c>
      <c r="B21" t="s">
        <v>214</v>
      </c>
      <c r="C21">
        <v>2</v>
      </c>
      <c r="D21">
        <v>55000</v>
      </c>
      <c r="E21">
        <v>27500</v>
      </c>
      <c r="F21">
        <v>4.1559999999999997</v>
      </c>
      <c r="G21">
        <v>15538</v>
      </c>
      <c r="H21">
        <v>5.5</v>
      </c>
      <c r="I21">
        <v>5</v>
      </c>
      <c r="J21">
        <v>-8</v>
      </c>
      <c r="K21">
        <v>-8</v>
      </c>
      <c r="L21">
        <v>5481</v>
      </c>
      <c r="M21">
        <v>1</v>
      </c>
      <c r="N21">
        <v>50</v>
      </c>
      <c r="O21" s="2" t="str" cm="1">
        <f t="array" ref="O2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21" s="2" t="str" cm="1">
        <f t="array" ref="P21">_xlfn.IFS(Computed_insight___Success_of_active_sellers__2[[#This Row],[rating]]&gt;=4.5, "Excellent ", Computed_insight___Success_of_active_sellers__2[[#This Row],[rating]]&gt;=4, "Good ", Computed_insight___Success_of_active_sellers__2[[#This Row],[rating]]&gt;=3.5, "Average", TRUE, "Poor ")</f>
        <v xml:space="preserve">Good </v>
      </c>
      <c r="Q21" s="2" t="str" cm="1">
        <f t="array" ref="Q2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1" s="2" t="str">
        <f>IF(Computed_insight___Success_of_active_sellers__2[[#This Row],[totalurgencycount]]&gt;0, "Has Banner", "No Banner")</f>
        <v>Has Banner</v>
      </c>
    </row>
    <row r="22" spans="1:18" x14ac:dyDescent="0.3">
      <c r="A22">
        <v>20</v>
      </c>
      <c r="B22" t="s">
        <v>123</v>
      </c>
      <c r="C22">
        <v>12</v>
      </c>
      <c r="D22">
        <v>54300</v>
      </c>
      <c r="E22">
        <v>4525</v>
      </c>
      <c r="F22">
        <v>4.0449999999999999</v>
      </c>
      <c r="G22">
        <v>12309</v>
      </c>
      <c r="H22">
        <v>5.56</v>
      </c>
      <c r="I22">
        <v>5.17</v>
      </c>
      <c r="J22">
        <v>-4</v>
      </c>
      <c r="K22">
        <v>-4.33</v>
      </c>
      <c r="L22">
        <v>512</v>
      </c>
      <c r="M22">
        <v>4</v>
      </c>
      <c r="N22">
        <v>33</v>
      </c>
      <c r="O22" s="2" t="str" cm="1">
        <f t="array" ref="O2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22" s="2" t="str" cm="1">
        <f t="array" ref="P22">_xlfn.IFS(Computed_insight___Success_of_active_sellers__2[[#This Row],[rating]]&gt;=4.5, "Excellent ", Computed_insight___Success_of_active_sellers__2[[#This Row],[rating]]&gt;=4, "Good ", Computed_insight___Success_of_active_sellers__2[[#This Row],[rating]]&gt;=3.5, "Average", TRUE, "Poor ")</f>
        <v xml:space="preserve">Good </v>
      </c>
      <c r="Q22" s="2" t="str" cm="1">
        <f t="array" ref="Q2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2" s="2" t="str">
        <f>IF(Computed_insight___Success_of_active_sellers__2[[#This Row],[totalurgencycount]]&gt;0, "Has Banner", "No Banner")</f>
        <v>Has Banner</v>
      </c>
    </row>
    <row r="23" spans="1:18" x14ac:dyDescent="0.3">
      <c r="A23">
        <v>21</v>
      </c>
      <c r="B23" t="s">
        <v>174</v>
      </c>
      <c r="C23">
        <v>3</v>
      </c>
      <c r="D23">
        <v>50000</v>
      </c>
      <c r="E23">
        <v>16667</v>
      </c>
      <c r="F23">
        <v>4.0380000000000003</v>
      </c>
      <c r="G23">
        <v>70773</v>
      </c>
      <c r="H23">
        <v>8</v>
      </c>
      <c r="I23">
        <v>7.33</v>
      </c>
      <c r="J23">
        <v>-9</v>
      </c>
      <c r="K23">
        <v>-9.33</v>
      </c>
      <c r="L23">
        <v>5719</v>
      </c>
      <c r="M23">
        <v>1</v>
      </c>
      <c r="N23">
        <v>33</v>
      </c>
      <c r="O23" s="2" t="str" cm="1">
        <f t="array" ref="O2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23" s="2" t="str" cm="1">
        <f t="array" ref="P23">_xlfn.IFS(Computed_insight___Success_of_active_sellers__2[[#This Row],[rating]]&gt;=4.5, "Excellent ", Computed_insight___Success_of_active_sellers__2[[#This Row],[rating]]&gt;=4, "Good ", Computed_insight___Success_of_active_sellers__2[[#This Row],[rating]]&gt;=3.5, "Average", TRUE, "Poor ")</f>
        <v xml:space="preserve">Good </v>
      </c>
      <c r="Q23" s="2" t="str" cm="1">
        <f t="array" ref="Q2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3" s="2" t="str">
        <f>IF(Computed_insight___Success_of_active_sellers__2[[#This Row],[totalurgencycount]]&gt;0, "Has Banner", "No Banner")</f>
        <v>Has Banner</v>
      </c>
    </row>
    <row r="24" spans="1:18" x14ac:dyDescent="0.3">
      <c r="A24">
        <v>22</v>
      </c>
      <c r="B24" t="s">
        <v>134</v>
      </c>
      <c r="C24">
        <v>4</v>
      </c>
      <c r="D24">
        <v>50000</v>
      </c>
      <c r="E24">
        <v>12500</v>
      </c>
      <c r="F24">
        <v>4.1539999999999999</v>
      </c>
      <c r="G24">
        <v>59903</v>
      </c>
      <c r="H24">
        <v>7.12</v>
      </c>
      <c r="I24">
        <v>6.5</v>
      </c>
      <c r="J24">
        <v>-9</v>
      </c>
      <c r="K24">
        <v>-9.25</v>
      </c>
      <c r="L24">
        <v>2034</v>
      </c>
      <c r="M24">
        <v>1</v>
      </c>
      <c r="N24">
        <v>25</v>
      </c>
      <c r="O24" s="2" t="str" cm="1">
        <f t="array" ref="O2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24" s="2" t="str" cm="1">
        <f t="array" ref="P24">_xlfn.IFS(Computed_insight___Success_of_active_sellers__2[[#This Row],[rating]]&gt;=4.5, "Excellent ", Computed_insight___Success_of_active_sellers__2[[#This Row],[rating]]&gt;=4, "Good ", Computed_insight___Success_of_active_sellers__2[[#This Row],[rating]]&gt;=3.5, "Average", TRUE, "Poor ")</f>
        <v xml:space="preserve">Good </v>
      </c>
      <c r="Q24" s="2" t="str" cm="1">
        <f t="array" ref="Q2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4" s="2" t="str">
        <f>IF(Computed_insight___Success_of_active_sellers__2[[#This Row],[totalurgencycount]]&gt;0, "Has Banner", "No Banner")</f>
        <v>Has Banner</v>
      </c>
    </row>
    <row r="25" spans="1:18" x14ac:dyDescent="0.3">
      <c r="A25">
        <v>23</v>
      </c>
      <c r="B25" t="s">
        <v>640</v>
      </c>
      <c r="C25">
        <v>1</v>
      </c>
      <c r="D25">
        <v>50000</v>
      </c>
      <c r="E25">
        <v>50000</v>
      </c>
      <c r="F25">
        <v>3.84</v>
      </c>
      <c r="G25">
        <v>78307</v>
      </c>
      <c r="H25">
        <v>8</v>
      </c>
      <c r="I25">
        <v>54</v>
      </c>
      <c r="J25">
        <v>86</v>
      </c>
      <c r="K25">
        <v>86</v>
      </c>
      <c r="L25">
        <v>14568</v>
      </c>
      <c r="O25" s="2" t="str" cm="1">
        <f t="array" ref="O2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25" s="2" t="str" cm="1">
        <f t="array" ref="P25">_xlfn.IFS(Computed_insight___Success_of_active_sellers__2[[#This Row],[rating]]&gt;=4.5, "Excellent ", Computed_insight___Success_of_active_sellers__2[[#This Row],[rating]]&gt;=4, "Good ", Computed_insight___Success_of_active_sellers__2[[#This Row],[rating]]&gt;=3.5, "Average", TRUE, "Poor ")</f>
        <v>Average</v>
      </c>
      <c r="Q25" s="2" t="str" cm="1">
        <f t="array" ref="Q2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5" s="2" t="str">
        <f>IF(Computed_insight___Success_of_active_sellers__2[[#This Row],[totalurgencycount]]&gt;0, "Has Banner", "No Banner")</f>
        <v>No Banner</v>
      </c>
    </row>
    <row r="26" spans="1:18" x14ac:dyDescent="0.3">
      <c r="A26">
        <v>24</v>
      </c>
      <c r="B26" t="s">
        <v>8</v>
      </c>
      <c r="C26">
        <v>1</v>
      </c>
      <c r="D26">
        <v>50000</v>
      </c>
      <c r="E26">
        <v>50000</v>
      </c>
      <c r="F26">
        <v>4.077</v>
      </c>
      <c r="G26">
        <v>10194</v>
      </c>
      <c r="H26">
        <v>7</v>
      </c>
      <c r="I26">
        <v>6</v>
      </c>
      <c r="J26">
        <v>-16</v>
      </c>
      <c r="K26">
        <v>-16</v>
      </c>
      <c r="L26">
        <v>6742</v>
      </c>
      <c r="O26" s="2" t="str" cm="1">
        <f t="array" ref="O2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26" s="2" t="str" cm="1">
        <f t="array" ref="P26">_xlfn.IFS(Computed_insight___Success_of_active_sellers__2[[#This Row],[rating]]&gt;=4.5, "Excellent ", Computed_insight___Success_of_active_sellers__2[[#This Row],[rating]]&gt;=4, "Good ", Computed_insight___Success_of_active_sellers__2[[#This Row],[rating]]&gt;=3.5, "Average", TRUE, "Poor ")</f>
        <v xml:space="preserve">Good </v>
      </c>
      <c r="Q26" s="2" t="str" cm="1">
        <f t="array" ref="Q2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6" s="2" t="str">
        <f>IF(Computed_insight___Success_of_active_sellers__2[[#This Row],[totalurgencycount]]&gt;0, "Has Banner", "No Banner")</f>
        <v>No Banner</v>
      </c>
    </row>
    <row r="27" spans="1:18" x14ac:dyDescent="0.3">
      <c r="A27">
        <v>25</v>
      </c>
      <c r="B27" t="s">
        <v>590</v>
      </c>
      <c r="C27">
        <v>1</v>
      </c>
      <c r="D27">
        <v>50000</v>
      </c>
      <c r="E27">
        <v>50000</v>
      </c>
      <c r="F27">
        <v>4.0949999999999998</v>
      </c>
      <c r="G27">
        <v>13665</v>
      </c>
      <c r="H27">
        <v>4</v>
      </c>
      <c r="I27">
        <v>6</v>
      </c>
      <c r="J27">
        <v>34</v>
      </c>
      <c r="K27">
        <v>34</v>
      </c>
      <c r="L27">
        <v>10927</v>
      </c>
      <c r="O27" s="2" t="str" cm="1">
        <f t="array" ref="O2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27" s="2" t="str" cm="1">
        <f t="array" ref="P27">_xlfn.IFS(Computed_insight___Success_of_active_sellers__2[[#This Row],[rating]]&gt;=4.5, "Excellent ", Computed_insight___Success_of_active_sellers__2[[#This Row],[rating]]&gt;=4, "Good ", Computed_insight___Success_of_active_sellers__2[[#This Row],[rating]]&gt;=3.5, "Average", TRUE, "Poor ")</f>
        <v xml:space="preserve">Good </v>
      </c>
      <c r="Q27" s="2" t="str" cm="1">
        <f t="array" ref="Q27">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7" s="2" t="str">
        <f>IF(Computed_insight___Success_of_active_sellers__2[[#This Row],[totalurgencycount]]&gt;0, "Has Banner", "No Banner")</f>
        <v>No Banner</v>
      </c>
    </row>
    <row r="28" spans="1:18" x14ac:dyDescent="0.3">
      <c r="A28">
        <v>26</v>
      </c>
      <c r="B28" t="s">
        <v>292</v>
      </c>
      <c r="C28">
        <v>1</v>
      </c>
      <c r="D28">
        <v>50000</v>
      </c>
      <c r="E28">
        <v>50000</v>
      </c>
      <c r="F28">
        <v>4.0949999999999998</v>
      </c>
      <c r="G28">
        <v>11481</v>
      </c>
      <c r="H28">
        <v>5</v>
      </c>
      <c r="I28">
        <v>5</v>
      </c>
      <c r="J28">
        <v>0</v>
      </c>
      <c r="K28">
        <v>0</v>
      </c>
      <c r="L28">
        <v>7088</v>
      </c>
      <c r="O28" s="2" t="str" cm="1">
        <f t="array" ref="O2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28" s="2" t="str" cm="1">
        <f t="array" ref="P28">_xlfn.IFS(Computed_insight___Success_of_active_sellers__2[[#This Row],[rating]]&gt;=4.5, "Excellent ", Computed_insight___Success_of_active_sellers__2[[#This Row],[rating]]&gt;=4, "Good ", Computed_insight___Success_of_active_sellers__2[[#This Row],[rating]]&gt;=3.5, "Average", TRUE, "Poor ")</f>
        <v xml:space="preserve">Good </v>
      </c>
      <c r="Q28" s="2" t="str" cm="1">
        <f t="array" ref="Q2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8" s="2" t="str">
        <f>IF(Computed_insight___Success_of_active_sellers__2[[#This Row],[totalurgencycount]]&gt;0, "Has Banner", "No Banner")</f>
        <v>No Banner</v>
      </c>
    </row>
    <row r="29" spans="1:18" x14ac:dyDescent="0.3">
      <c r="A29">
        <v>27</v>
      </c>
      <c r="B29" t="s">
        <v>330</v>
      </c>
      <c r="C29">
        <v>1</v>
      </c>
      <c r="D29">
        <v>50000</v>
      </c>
      <c r="E29">
        <v>50000</v>
      </c>
      <c r="F29">
        <v>4.0960000000000001</v>
      </c>
      <c r="G29">
        <v>96276</v>
      </c>
      <c r="H29">
        <v>5.7</v>
      </c>
      <c r="I29">
        <v>58</v>
      </c>
      <c r="J29">
        <v>91</v>
      </c>
      <c r="K29">
        <v>91</v>
      </c>
      <c r="L29">
        <v>8164</v>
      </c>
      <c r="O29" s="2" t="str" cm="1">
        <f t="array" ref="O2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29" s="2" t="str" cm="1">
        <f t="array" ref="P29">_xlfn.IFS(Computed_insight___Success_of_active_sellers__2[[#This Row],[rating]]&gt;=4.5, "Excellent ", Computed_insight___Success_of_active_sellers__2[[#This Row],[rating]]&gt;=4, "Good ", Computed_insight___Success_of_active_sellers__2[[#This Row],[rating]]&gt;=3.5, "Average", TRUE, "Poor ")</f>
        <v xml:space="preserve">Good </v>
      </c>
      <c r="Q29" s="2" t="str" cm="1">
        <f t="array" ref="Q2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9" s="2" t="str">
        <f>IF(Computed_insight___Success_of_active_sellers__2[[#This Row],[totalurgencycount]]&gt;0, "Has Banner", "No Banner")</f>
        <v>No Banner</v>
      </c>
    </row>
    <row r="30" spans="1:18" x14ac:dyDescent="0.3">
      <c r="A30">
        <v>28</v>
      </c>
      <c r="B30" t="s">
        <v>40</v>
      </c>
      <c r="C30">
        <v>1</v>
      </c>
      <c r="D30">
        <v>50000</v>
      </c>
      <c r="E30">
        <v>50000</v>
      </c>
      <c r="F30">
        <v>4.1050000000000004</v>
      </c>
      <c r="G30">
        <v>59198</v>
      </c>
      <c r="H30">
        <v>9</v>
      </c>
      <c r="I30">
        <v>81</v>
      </c>
      <c r="J30">
        <v>89</v>
      </c>
      <c r="K30">
        <v>89</v>
      </c>
      <c r="L30">
        <v>5359</v>
      </c>
      <c r="O30" s="2" t="str" cm="1">
        <f t="array" ref="O3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30" s="2" t="str" cm="1">
        <f t="array" ref="P30">_xlfn.IFS(Computed_insight___Success_of_active_sellers__2[[#This Row],[rating]]&gt;=4.5, "Excellent ", Computed_insight___Success_of_active_sellers__2[[#This Row],[rating]]&gt;=4, "Good ", Computed_insight___Success_of_active_sellers__2[[#This Row],[rating]]&gt;=3.5, "Average", TRUE, "Poor ")</f>
        <v xml:space="preserve">Good </v>
      </c>
      <c r="Q30" s="2" t="str" cm="1">
        <f t="array" ref="Q3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0" s="2" t="str">
        <f>IF(Computed_insight___Success_of_active_sellers__2[[#This Row],[totalurgencycount]]&gt;0, "Has Banner", "No Banner")</f>
        <v>No Banner</v>
      </c>
    </row>
    <row r="31" spans="1:18" x14ac:dyDescent="0.3">
      <c r="A31">
        <v>29</v>
      </c>
      <c r="B31" t="s">
        <v>797</v>
      </c>
      <c r="C31">
        <v>1</v>
      </c>
      <c r="D31">
        <v>50000</v>
      </c>
      <c r="E31">
        <v>50000</v>
      </c>
      <c r="F31">
        <v>4.165</v>
      </c>
      <c r="G31">
        <v>229199</v>
      </c>
      <c r="H31">
        <v>2</v>
      </c>
      <c r="I31">
        <v>2</v>
      </c>
      <c r="J31">
        <v>0</v>
      </c>
      <c r="K31">
        <v>0</v>
      </c>
      <c r="L31">
        <v>7575</v>
      </c>
      <c r="O31" s="2" t="str" cm="1">
        <f t="array" ref="O3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31" s="2" t="str" cm="1">
        <f t="array" ref="P31">_xlfn.IFS(Computed_insight___Success_of_active_sellers__2[[#This Row],[rating]]&gt;=4.5, "Excellent ", Computed_insight___Success_of_active_sellers__2[[#This Row],[rating]]&gt;=4, "Good ", Computed_insight___Success_of_active_sellers__2[[#This Row],[rating]]&gt;=3.5, "Average", TRUE, "Poor ")</f>
        <v xml:space="preserve">Good </v>
      </c>
      <c r="Q31" s="2" t="str" cm="1">
        <f t="array" ref="Q3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1" s="2" t="str">
        <f>IF(Computed_insight___Success_of_active_sellers__2[[#This Row],[totalurgencycount]]&gt;0, "Has Banner", "No Banner")</f>
        <v>No Banner</v>
      </c>
    </row>
    <row r="32" spans="1:18" x14ac:dyDescent="0.3">
      <c r="A32">
        <v>30</v>
      </c>
      <c r="B32" t="s">
        <v>800</v>
      </c>
      <c r="C32">
        <v>1</v>
      </c>
      <c r="D32">
        <v>50000</v>
      </c>
      <c r="E32">
        <v>50000</v>
      </c>
      <c r="F32">
        <v>4.2160000000000002</v>
      </c>
      <c r="G32">
        <v>203805</v>
      </c>
      <c r="H32">
        <v>4.66</v>
      </c>
      <c r="I32">
        <v>11</v>
      </c>
      <c r="J32">
        <v>58</v>
      </c>
      <c r="K32">
        <v>58</v>
      </c>
      <c r="L32">
        <v>10122</v>
      </c>
      <c r="O32" s="2" t="str" cm="1">
        <f t="array" ref="O3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32" s="2" t="str" cm="1">
        <f t="array" ref="P32">_xlfn.IFS(Computed_insight___Success_of_active_sellers__2[[#This Row],[rating]]&gt;=4.5, "Excellent ", Computed_insight___Success_of_active_sellers__2[[#This Row],[rating]]&gt;=4, "Good ", Computed_insight___Success_of_active_sellers__2[[#This Row],[rating]]&gt;=3.5, "Average", TRUE, "Poor ")</f>
        <v xml:space="preserve">Good </v>
      </c>
      <c r="Q32" s="2" t="str" cm="1">
        <f t="array" ref="Q3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2" s="2" t="str">
        <f>IF(Computed_insight___Success_of_active_sellers__2[[#This Row],[totalurgencycount]]&gt;0, "Has Banner", "No Banner")</f>
        <v>No Banner</v>
      </c>
    </row>
    <row r="33" spans="1:18" x14ac:dyDescent="0.3">
      <c r="A33">
        <v>31</v>
      </c>
      <c r="B33" t="s">
        <v>672</v>
      </c>
      <c r="C33">
        <v>1</v>
      </c>
      <c r="D33">
        <v>50000</v>
      </c>
      <c r="E33">
        <v>50000</v>
      </c>
      <c r="F33">
        <v>4.2279999999999998</v>
      </c>
      <c r="G33">
        <v>38264</v>
      </c>
      <c r="H33">
        <v>6</v>
      </c>
      <c r="I33">
        <v>6</v>
      </c>
      <c r="J33">
        <v>0</v>
      </c>
      <c r="K33">
        <v>0</v>
      </c>
      <c r="L33">
        <v>12880</v>
      </c>
      <c r="O33" s="2" t="str" cm="1">
        <f t="array" ref="O3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33" s="2" t="str" cm="1">
        <f t="array" ref="P33">_xlfn.IFS(Computed_insight___Success_of_active_sellers__2[[#This Row],[rating]]&gt;=4.5, "Excellent ", Computed_insight___Success_of_active_sellers__2[[#This Row],[rating]]&gt;=4, "Good ", Computed_insight___Success_of_active_sellers__2[[#This Row],[rating]]&gt;=3.5, "Average", TRUE, "Poor ")</f>
        <v xml:space="preserve">Good </v>
      </c>
      <c r="Q33" s="2" t="str" cm="1">
        <f t="array" ref="Q3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3" s="2" t="str">
        <f>IF(Computed_insight___Success_of_active_sellers__2[[#This Row],[totalurgencycount]]&gt;0, "Has Banner", "No Banner")</f>
        <v>No Banner</v>
      </c>
    </row>
    <row r="34" spans="1:18" x14ac:dyDescent="0.3">
      <c r="A34">
        <v>32</v>
      </c>
      <c r="B34" t="s">
        <v>667</v>
      </c>
      <c r="C34">
        <v>1</v>
      </c>
      <c r="D34">
        <v>50000</v>
      </c>
      <c r="E34">
        <v>50000</v>
      </c>
      <c r="F34">
        <v>4.3019999999999996</v>
      </c>
      <c r="G34">
        <v>37076</v>
      </c>
      <c r="H34">
        <v>9</v>
      </c>
      <c r="I34">
        <v>8</v>
      </c>
      <c r="J34">
        <v>-12</v>
      </c>
      <c r="K34">
        <v>-12</v>
      </c>
      <c r="L34">
        <v>13198</v>
      </c>
      <c r="O34" s="2" t="str" cm="1">
        <f t="array" ref="O3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34" s="2" t="str" cm="1">
        <f t="array" ref="P34">_xlfn.IFS(Computed_insight___Success_of_active_sellers__2[[#This Row],[rating]]&gt;=4.5, "Excellent ", Computed_insight___Success_of_active_sellers__2[[#This Row],[rating]]&gt;=4, "Good ", Computed_insight___Success_of_active_sellers__2[[#This Row],[rating]]&gt;=3.5, "Average", TRUE, "Poor ")</f>
        <v xml:space="preserve">Good </v>
      </c>
      <c r="Q34" s="2" t="str" cm="1">
        <f t="array" ref="Q3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4" s="2" t="str">
        <f>IF(Computed_insight___Success_of_active_sellers__2[[#This Row],[totalurgencycount]]&gt;0, "Has Banner", "No Banner")</f>
        <v>No Banner</v>
      </c>
    </row>
    <row r="35" spans="1:18" x14ac:dyDescent="0.3">
      <c r="A35">
        <v>33</v>
      </c>
      <c r="B35" t="s">
        <v>239</v>
      </c>
      <c r="C35">
        <v>6</v>
      </c>
      <c r="D35">
        <v>46000</v>
      </c>
      <c r="E35">
        <v>7667</v>
      </c>
      <c r="F35">
        <v>3.968</v>
      </c>
      <c r="G35">
        <v>36361</v>
      </c>
      <c r="H35">
        <v>8.5</v>
      </c>
      <c r="I35">
        <v>41.83</v>
      </c>
      <c r="J35">
        <v>67</v>
      </c>
      <c r="K35">
        <v>67.17</v>
      </c>
      <c r="L35">
        <v>1526</v>
      </c>
      <c r="M35">
        <v>1</v>
      </c>
      <c r="N35">
        <v>17</v>
      </c>
      <c r="O35" s="2" t="str" cm="1">
        <f t="array" ref="O3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35" s="2" t="str" cm="1">
        <f t="array" ref="P35">_xlfn.IFS(Computed_insight___Success_of_active_sellers__2[[#This Row],[rating]]&gt;=4.5, "Excellent ", Computed_insight___Success_of_active_sellers__2[[#This Row],[rating]]&gt;=4, "Good ", Computed_insight___Success_of_active_sellers__2[[#This Row],[rating]]&gt;=3.5, "Average", TRUE, "Poor ")</f>
        <v>Average</v>
      </c>
      <c r="Q35" s="2" t="str" cm="1">
        <f t="array" ref="Q3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5" s="2" t="str">
        <f>IF(Computed_insight___Success_of_active_sellers__2[[#This Row],[totalurgencycount]]&gt;0, "Has Banner", "No Banner")</f>
        <v>Has Banner</v>
      </c>
    </row>
    <row r="36" spans="1:18" x14ac:dyDescent="0.3">
      <c r="A36">
        <v>34</v>
      </c>
      <c r="B36" t="s">
        <v>127</v>
      </c>
      <c r="C36">
        <v>8</v>
      </c>
      <c r="D36">
        <v>43100</v>
      </c>
      <c r="E36">
        <v>5388</v>
      </c>
      <c r="F36">
        <v>4.0810000000000004</v>
      </c>
      <c r="G36">
        <v>88193</v>
      </c>
      <c r="H36">
        <v>8.25</v>
      </c>
      <c r="I36">
        <v>7.63</v>
      </c>
      <c r="J36">
        <v>-8</v>
      </c>
      <c r="K36">
        <v>-7.62</v>
      </c>
      <c r="L36">
        <v>654</v>
      </c>
      <c r="M36">
        <v>2</v>
      </c>
      <c r="N36">
        <v>25</v>
      </c>
      <c r="O36" s="2" t="str" cm="1">
        <f t="array" ref="O3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36" s="2" t="str" cm="1">
        <f t="array" ref="P36">_xlfn.IFS(Computed_insight___Success_of_active_sellers__2[[#This Row],[rating]]&gt;=4.5, "Excellent ", Computed_insight___Success_of_active_sellers__2[[#This Row],[rating]]&gt;=4, "Good ", Computed_insight___Success_of_active_sellers__2[[#This Row],[rating]]&gt;=3.5, "Average", TRUE, "Poor ")</f>
        <v xml:space="preserve">Good </v>
      </c>
      <c r="Q36" s="2" t="str" cm="1">
        <f t="array" ref="Q3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6" s="2" t="str">
        <f>IF(Computed_insight___Success_of_active_sellers__2[[#This Row],[totalurgencycount]]&gt;0, "Has Banner", "No Banner")</f>
        <v>Has Banner</v>
      </c>
    </row>
    <row r="37" spans="1:18" x14ac:dyDescent="0.3">
      <c r="A37">
        <v>35</v>
      </c>
      <c r="B37" t="s">
        <v>268</v>
      </c>
      <c r="C37">
        <v>4</v>
      </c>
      <c r="D37">
        <v>41100</v>
      </c>
      <c r="E37">
        <v>10275</v>
      </c>
      <c r="F37">
        <v>4.08</v>
      </c>
      <c r="G37">
        <v>18877</v>
      </c>
      <c r="H37">
        <v>7.47</v>
      </c>
      <c r="I37">
        <v>20.25</v>
      </c>
      <c r="J37">
        <v>17</v>
      </c>
      <c r="K37">
        <v>16.75</v>
      </c>
      <c r="L37">
        <v>2210</v>
      </c>
      <c r="M37">
        <v>1</v>
      </c>
      <c r="N37">
        <v>25</v>
      </c>
      <c r="O37" s="2" t="str" cm="1">
        <f t="array" ref="O3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37" s="2" t="str" cm="1">
        <f t="array" ref="P37">_xlfn.IFS(Computed_insight___Success_of_active_sellers__2[[#This Row],[rating]]&gt;=4.5, "Excellent ", Computed_insight___Success_of_active_sellers__2[[#This Row],[rating]]&gt;=4, "Good ", Computed_insight___Success_of_active_sellers__2[[#This Row],[rating]]&gt;=3.5, "Average", TRUE, "Poor ")</f>
        <v xml:space="preserve">Good </v>
      </c>
      <c r="Q37" s="2" t="str" cm="1">
        <f t="array" ref="Q37">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37" s="2" t="str">
        <f>IF(Computed_insight___Success_of_active_sellers__2[[#This Row],[totalurgencycount]]&gt;0, "Has Banner", "No Banner")</f>
        <v>Has Banner</v>
      </c>
    </row>
    <row r="38" spans="1:18" x14ac:dyDescent="0.3">
      <c r="A38">
        <v>36</v>
      </c>
      <c r="B38" t="s">
        <v>132</v>
      </c>
      <c r="C38">
        <v>3</v>
      </c>
      <c r="D38">
        <v>41000</v>
      </c>
      <c r="E38">
        <v>13667</v>
      </c>
      <c r="F38">
        <v>4.2839999999999998</v>
      </c>
      <c r="G38">
        <v>43676</v>
      </c>
      <c r="H38">
        <v>5.33</v>
      </c>
      <c r="I38">
        <v>5</v>
      </c>
      <c r="J38">
        <v>-5</v>
      </c>
      <c r="K38">
        <v>-4.67</v>
      </c>
      <c r="L38">
        <v>5013</v>
      </c>
      <c r="O38" s="2" t="str" cm="1">
        <f t="array" ref="O3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38" s="2" t="str" cm="1">
        <f t="array" ref="P38">_xlfn.IFS(Computed_insight___Success_of_active_sellers__2[[#This Row],[rating]]&gt;=4.5, "Excellent ", Computed_insight___Success_of_active_sellers__2[[#This Row],[rating]]&gt;=4, "Good ", Computed_insight___Success_of_active_sellers__2[[#This Row],[rating]]&gt;=3.5, "Average", TRUE, "Poor ")</f>
        <v xml:space="preserve">Good </v>
      </c>
      <c r="Q38" s="2" t="str" cm="1">
        <f t="array" ref="Q3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8" s="2" t="str">
        <f>IF(Computed_insight___Success_of_active_sellers__2[[#This Row],[totalurgencycount]]&gt;0, "Has Banner", "No Banner")</f>
        <v>No Banner</v>
      </c>
    </row>
    <row r="39" spans="1:18" x14ac:dyDescent="0.3">
      <c r="A39">
        <v>37</v>
      </c>
      <c r="B39" t="s">
        <v>96</v>
      </c>
      <c r="C39">
        <v>4</v>
      </c>
      <c r="D39">
        <v>41000</v>
      </c>
      <c r="E39">
        <v>10250</v>
      </c>
      <c r="F39">
        <v>3.802</v>
      </c>
      <c r="G39">
        <v>54504</v>
      </c>
      <c r="H39">
        <v>7</v>
      </c>
      <c r="I39">
        <v>8.75</v>
      </c>
      <c r="J39">
        <v>17</v>
      </c>
      <c r="K39">
        <v>17.25</v>
      </c>
      <c r="L39">
        <v>1351</v>
      </c>
      <c r="O39" s="2" t="str" cm="1">
        <f t="array" ref="O3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39" s="2" t="str" cm="1">
        <f t="array" ref="P39">_xlfn.IFS(Computed_insight___Success_of_active_sellers__2[[#This Row],[rating]]&gt;=4.5, "Excellent ", Computed_insight___Success_of_active_sellers__2[[#This Row],[rating]]&gt;=4, "Good ", Computed_insight___Success_of_active_sellers__2[[#This Row],[rating]]&gt;=3.5, "Average", TRUE, "Poor ")</f>
        <v>Average</v>
      </c>
      <c r="Q39" s="2" t="str" cm="1">
        <f t="array" ref="Q39">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39" s="2" t="str">
        <f>IF(Computed_insight___Success_of_active_sellers__2[[#This Row],[totalurgencycount]]&gt;0, "Has Banner", "No Banner")</f>
        <v>No Banner</v>
      </c>
    </row>
    <row r="40" spans="1:18" x14ac:dyDescent="0.3">
      <c r="A40">
        <v>38</v>
      </c>
      <c r="B40" t="s">
        <v>53</v>
      </c>
      <c r="C40">
        <v>4</v>
      </c>
      <c r="D40">
        <v>40000</v>
      </c>
      <c r="E40">
        <v>10000</v>
      </c>
      <c r="F40">
        <v>4.109</v>
      </c>
      <c r="G40">
        <v>16013</v>
      </c>
      <c r="H40">
        <v>6.68</v>
      </c>
      <c r="I40">
        <v>6.25</v>
      </c>
      <c r="J40">
        <v>-3</v>
      </c>
      <c r="K40">
        <v>-3.5</v>
      </c>
      <c r="L40">
        <v>1177</v>
      </c>
      <c r="O40" s="2" t="str" cm="1">
        <f t="array" ref="O4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40" s="2" t="str" cm="1">
        <f t="array" ref="P40">_xlfn.IFS(Computed_insight___Success_of_active_sellers__2[[#This Row],[rating]]&gt;=4.5, "Excellent ", Computed_insight___Success_of_active_sellers__2[[#This Row],[rating]]&gt;=4, "Good ", Computed_insight___Success_of_active_sellers__2[[#This Row],[rating]]&gt;=3.5, "Average", TRUE, "Poor ")</f>
        <v xml:space="preserve">Good </v>
      </c>
      <c r="Q40" s="2" t="str" cm="1">
        <f t="array" ref="Q4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0" s="2" t="str">
        <f>IF(Computed_insight___Success_of_active_sellers__2[[#This Row],[totalurgencycount]]&gt;0, "Has Banner", "No Banner")</f>
        <v>No Banner</v>
      </c>
    </row>
    <row r="41" spans="1:18" x14ac:dyDescent="0.3">
      <c r="A41">
        <v>39</v>
      </c>
      <c r="B41" t="s">
        <v>402</v>
      </c>
      <c r="C41">
        <v>2</v>
      </c>
      <c r="D41">
        <v>40000</v>
      </c>
      <c r="E41">
        <v>20000</v>
      </c>
      <c r="F41">
        <v>4.1050000000000004</v>
      </c>
      <c r="G41">
        <v>73701</v>
      </c>
      <c r="H41">
        <v>9.5</v>
      </c>
      <c r="I41">
        <v>34</v>
      </c>
      <c r="J41">
        <v>73</v>
      </c>
      <c r="K41">
        <v>73</v>
      </c>
      <c r="L41">
        <v>7364</v>
      </c>
      <c r="O41" s="2" t="str" cm="1">
        <f t="array" ref="O4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41" s="2" t="str" cm="1">
        <f t="array" ref="P41">_xlfn.IFS(Computed_insight___Success_of_active_sellers__2[[#This Row],[rating]]&gt;=4.5, "Excellent ", Computed_insight___Success_of_active_sellers__2[[#This Row],[rating]]&gt;=4, "Good ", Computed_insight___Success_of_active_sellers__2[[#This Row],[rating]]&gt;=3.5, "Average", TRUE, "Poor ")</f>
        <v xml:space="preserve">Good </v>
      </c>
      <c r="Q41" s="2" t="str" cm="1">
        <f t="array" ref="Q4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1" s="2" t="str">
        <f>IF(Computed_insight___Success_of_active_sellers__2[[#This Row],[totalurgencycount]]&gt;0, "Has Banner", "No Banner")</f>
        <v>No Banner</v>
      </c>
    </row>
    <row r="42" spans="1:18" x14ac:dyDescent="0.3">
      <c r="A42">
        <v>40</v>
      </c>
      <c r="B42" t="s">
        <v>514</v>
      </c>
      <c r="C42">
        <v>2</v>
      </c>
      <c r="D42">
        <v>40000</v>
      </c>
      <c r="E42">
        <v>20000</v>
      </c>
      <c r="F42">
        <v>4.1369999999999996</v>
      </c>
      <c r="G42">
        <v>17760</v>
      </c>
      <c r="H42">
        <v>11</v>
      </c>
      <c r="I42">
        <v>14</v>
      </c>
      <c r="J42">
        <v>22</v>
      </c>
      <c r="K42">
        <v>22</v>
      </c>
      <c r="L42">
        <v>8029</v>
      </c>
      <c r="M42">
        <v>1</v>
      </c>
      <c r="N42">
        <v>50</v>
      </c>
      <c r="O42" s="2" t="str" cm="1">
        <f t="array" ref="O4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42" s="2" t="str" cm="1">
        <f t="array" ref="P42">_xlfn.IFS(Computed_insight___Success_of_active_sellers__2[[#This Row],[rating]]&gt;=4.5, "Excellent ", Computed_insight___Success_of_active_sellers__2[[#This Row],[rating]]&gt;=4, "Good ", Computed_insight___Success_of_active_sellers__2[[#This Row],[rating]]&gt;=3.5, "Average", TRUE, "Poor ")</f>
        <v xml:space="preserve">Good </v>
      </c>
      <c r="Q42" s="2" t="str" cm="1">
        <f t="array" ref="Q42">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42" s="2" t="str">
        <f>IF(Computed_insight___Success_of_active_sellers__2[[#This Row],[totalurgencycount]]&gt;0, "Has Banner", "No Banner")</f>
        <v>Has Banner</v>
      </c>
    </row>
    <row r="43" spans="1:18" x14ac:dyDescent="0.3">
      <c r="A43">
        <v>41</v>
      </c>
      <c r="B43" t="s">
        <v>129</v>
      </c>
      <c r="C43">
        <v>2</v>
      </c>
      <c r="D43">
        <v>40000</v>
      </c>
      <c r="E43">
        <v>20000</v>
      </c>
      <c r="F43">
        <v>4.1680000000000001</v>
      </c>
      <c r="G43">
        <v>19221</v>
      </c>
      <c r="H43">
        <v>8</v>
      </c>
      <c r="I43">
        <v>7</v>
      </c>
      <c r="J43">
        <v>-14</v>
      </c>
      <c r="K43">
        <v>-14</v>
      </c>
      <c r="L43">
        <v>8904</v>
      </c>
      <c r="M43">
        <v>1</v>
      </c>
      <c r="N43">
        <v>50</v>
      </c>
      <c r="O43" s="2" t="str" cm="1">
        <f t="array" ref="O4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43" s="2" t="str" cm="1">
        <f t="array" ref="P43">_xlfn.IFS(Computed_insight___Success_of_active_sellers__2[[#This Row],[rating]]&gt;=4.5, "Excellent ", Computed_insight___Success_of_active_sellers__2[[#This Row],[rating]]&gt;=4, "Good ", Computed_insight___Success_of_active_sellers__2[[#This Row],[rating]]&gt;=3.5, "Average", TRUE, "Poor ")</f>
        <v xml:space="preserve">Good </v>
      </c>
      <c r="Q43" s="2" t="str" cm="1">
        <f t="array" ref="Q4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3" s="2" t="str">
        <f>IF(Computed_insight___Success_of_active_sellers__2[[#This Row],[totalurgencycount]]&gt;0, "Has Banner", "No Banner")</f>
        <v>Has Banner</v>
      </c>
    </row>
    <row r="44" spans="1:18" x14ac:dyDescent="0.3">
      <c r="A44">
        <v>42</v>
      </c>
      <c r="B44" t="s">
        <v>249</v>
      </c>
      <c r="C44">
        <v>8</v>
      </c>
      <c r="D44">
        <v>36100</v>
      </c>
      <c r="E44">
        <v>4513</v>
      </c>
      <c r="F44">
        <v>4.1059999999999999</v>
      </c>
      <c r="G44">
        <v>42919</v>
      </c>
      <c r="H44">
        <v>6.55</v>
      </c>
      <c r="I44">
        <v>23.75</v>
      </c>
      <c r="J44">
        <v>46</v>
      </c>
      <c r="K44">
        <v>46.13</v>
      </c>
      <c r="L44">
        <v>644</v>
      </c>
      <c r="M44">
        <v>5</v>
      </c>
      <c r="N44">
        <v>63</v>
      </c>
      <c r="O44" s="2" t="str" cm="1">
        <f t="array" ref="O4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44" s="2" t="str" cm="1">
        <f t="array" ref="P44">_xlfn.IFS(Computed_insight___Success_of_active_sellers__2[[#This Row],[rating]]&gt;=4.5, "Excellent ", Computed_insight___Success_of_active_sellers__2[[#This Row],[rating]]&gt;=4, "Good ", Computed_insight___Success_of_active_sellers__2[[#This Row],[rating]]&gt;=3.5, "Average", TRUE, "Poor ")</f>
        <v xml:space="preserve">Good </v>
      </c>
      <c r="Q44" s="2" t="str" cm="1">
        <f t="array" ref="Q44">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44" s="2" t="str">
        <f>IF(Computed_insight___Success_of_active_sellers__2[[#This Row],[totalurgencycount]]&gt;0, "Has Banner", "No Banner")</f>
        <v>Has Banner</v>
      </c>
    </row>
    <row r="45" spans="1:18" x14ac:dyDescent="0.3">
      <c r="A45">
        <v>43</v>
      </c>
      <c r="B45" t="s">
        <v>17</v>
      </c>
      <c r="C45">
        <v>5</v>
      </c>
      <c r="D45">
        <v>32000</v>
      </c>
      <c r="E45">
        <v>6400</v>
      </c>
      <c r="F45">
        <v>4.0659999999999998</v>
      </c>
      <c r="G45">
        <v>39381</v>
      </c>
      <c r="H45">
        <v>10.8</v>
      </c>
      <c r="I45">
        <v>23.8</v>
      </c>
      <c r="J45">
        <v>7</v>
      </c>
      <c r="K45">
        <v>7</v>
      </c>
      <c r="L45">
        <v>1287</v>
      </c>
      <c r="M45">
        <v>1</v>
      </c>
      <c r="N45">
        <v>20</v>
      </c>
      <c r="O45" s="2" t="str" cm="1">
        <f t="array" ref="O4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45" s="2" t="str" cm="1">
        <f t="array" ref="P45">_xlfn.IFS(Computed_insight___Success_of_active_sellers__2[[#This Row],[rating]]&gt;=4.5, "Excellent ", Computed_insight___Success_of_active_sellers__2[[#This Row],[rating]]&gt;=4, "Good ", Computed_insight___Success_of_active_sellers__2[[#This Row],[rating]]&gt;=3.5, "Average", TRUE, "Poor ")</f>
        <v xml:space="preserve">Good </v>
      </c>
      <c r="Q45" s="2" t="str" cm="1">
        <f t="array" ref="Q45">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45" s="2" t="str">
        <f>IF(Computed_insight___Success_of_active_sellers__2[[#This Row],[totalurgencycount]]&gt;0, "Has Banner", "No Banner")</f>
        <v>Has Banner</v>
      </c>
    </row>
    <row r="46" spans="1:18" x14ac:dyDescent="0.3">
      <c r="A46">
        <v>44</v>
      </c>
      <c r="B46" t="s">
        <v>313</v>
      </c>
      <c r="C46">
        <v>6</v>
      </c>
      <c r="D46">
        <v>31206</v>
      </c>
      <c r="E46">
        <v>5201</v>
      </c>
      <c r="F46">
        <v>4.05</v>
      </c>
      <c r="G46">
        <v>65189</v>
      </c>
      <c r="H46">
        <v>7.67</v>
      </c>
      <c r="I46">
        <v>16.829999999999998</v>
      </c>
      <c r="J46">
        <v>39</v>
      </c>
      <c r="K46">
        <v>39.17</v>
      </c>
      <c r="L46">
        <v>815</v>
      </c>
      <c r="M46">
        <v>3</v>
      </c>
      <c r="N46">
        <v>50</v>
      </c>
      <c r="O46" s="2" t="str" cm="1">
        <f t="array" ref="O4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46" s="2" t="str" cm="1">
        <f t="array" ref="P46">_xlfn.IFS(Computed_insight___Success_of_active_sellers__2[[#This Row],[rating]]&gt;=4.5, "Excellent ", Computed_insight___Success_of_active_sellers__2[[#This Row],[rating]]&gt;=4, "Good ", Computed_insight___Success_of_active_sellers__2[[#This Row],[rating]]&gt;=3.5, "Average", TRUE, "Poor ")</f>
        <v xml:space="preserve">Good </v>
      </c>
      <c r="Q46" s="2" t="str" cm="1">
        <f t="array" ref="Q46">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46" s="2" t="str">
        <f>IF(Computed_insight___Success_of_active_sellers__2[[#This Row],[totalurgencycount]]&gt;0, "Has Banner", "No Banner")</f>
        <v>Has Banner</v>
      </c>
    </row>
    <row r="47" spans="1:18" x14ac:dyDescent="0.3">
      <c r="A47">
        <v>45</v>
      </c>
      <c r="B47" t="s">
        <v>37</v>
      </c>
      <c r="C47">
        <v>4</v>
      </c>
      <c r="D47">
        <v>31000</v>
      </c>
      <c r="E47">
        <v>7750</v>
      </c>
      <c r="F47">
        <v>4</v>
      </c>
      <c r="G47">
        <v>13946</v>
      </c>
      <c r="H47">
        <v>9.5</v>
      </c>
      <c r="I47">
        <v>8.5</v>
      </c>
      <c r="J47">
        <v>-12</v>
      </c>
      <c r="K47">
        <v>-12</v>
      </c>
      <c r="L47">
        <v>1495</v>
      </c>
      <c r="M47">
        <v>1</v>
      </c>
      <c r="N47">
        <v>25</v>
      </c>
      <c r="O47" s="2" t="str" cm="1">
        <f t="array" ref="O4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47" s="2" t="str" cm="1">
        <f t="array" ref="P47">_xlfn.IFS(Computed_insight___Success_of_active_sellers__2[[#This Row],[rating]]&gt;=4.5, "Excellent ", Computed_insight___Success_of_active_sellers__2[[#This Row],[rating]]&gt;=4, "Good ", Computed_insight___Success_of_active_sellers__2[[#This Row],[rating]]&gt;=3.5, "Average", TRUE, "Poor ")</f>
        <v xml:space="preserve">Good </v>
      </c>
      <c r="Q47" s="2" t="str" cm="1">
        <f t="array" ref="Q4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7" s="2" t="str">
        <f>IF(Computed_insight___Success_of_active_sellers__2[[#This Row],[totalurgencycount]]&gt;0, "Has Banner", "No Banner")</f>
        <v>Has Banner</v>
      </c>
    </row>
    <row r="48" spans="1:18" x14ac:dyDescent="0.3">
      <c r="A48">
        <v>46</v>
      </c>
      <c r="B48" t="s">
        <v>568</v>
      </c>
      <c r="C48">
        <v>3</v>
      </c>
      <c r="D48">
        <v>30000</v>
      </c>
      <c r="E48">
        <v>10000</v>
      </c>
      <c r="F48">
        <v>3.9359999999999999</v>
      </c>
      <c r="G48">
        <v>5816</v>
      </c>
      <c r="H48">
        <v>11</v>
      </c>
      <c r="I48">
        <v>10</v>
      </c>
      <c r="J48">
        <v>-10</v>
      </c>
      <c r="K48">
        <v>-10</v>
      </c>
      <c r="L48">
        <v>1479</v>
      </c>
      <c r="M48">
        <v>2</v>
      </c>
      <c r="N48">
        <v>67</v>
      </c>
      <c r="O48" s="2" t="str" cm="1">
        <f t="array" ref="O4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48" s="2" t="str" cm="1">
        <f t="array" ref="P48">_xlfn.IFS(Computed_insight___Success_of_active_sellers__2[[#This Row],[rating]]&gt;=4.5, "Excellent ", Computed_insight___Success_of_active_sellers__2[[#This Row],[rating]]&gt;=4, "Good ", Computed_insight___Success_of_active_sellers__2[[#This Row],[rating]]&gt;=3.5, "Average", TRUE, "Poor ")</f>
        <v>Average</v>
      </c>
      <c r="Q48" s="2" t="str" cm="1">
        <f t="array" ref="Q4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8" s="2" t="str">
        <f>IF(Computed_insight___Success_of_active_sellers__2[[#This Row],[totalurgencycount]]&gt;0, "Has Banner", "No Banner")</f>
        <v>Has Banner</v>
      </c>
    </row>
    <row r="49" spans="1:18" x14ac:dyDescent="0.3">
      <c r="A49">
        <v>47</v>
      </c>
      <c r="B49" t="s">
        <v>235</v>
      </c>
      <c r="C49">
        <v>3</v>
      </c>
      <c r="D49">
        <v>30000</v>
      </c>
      <c r="E49">
        <v>10000</v>
      </c>
      <c r="F49">
        <v>4.1879999999999997</v>
      </c>
      <c r="G49">
        <v>80713</v>
      </c>
      <c r="H49">
        <v>8</v>
      </c>
      <c r="I49">
        <v>84</v>
      </c>
      <c r="J49">
        <v>91</v>
      </c>
      <c r="K49">
        <v>91</v>
      </c>
      <c r="L49">
        <v>2971</v>
      </c>
      <c r="M49">
        <v>1</v>
      </c>
      <c r="N49">
        <v>33</v>
      </c>
      <c r="O49" s="2" t="str" cm="1">
        <f t="array" ref="O4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49" s="2" t="str" cm="1">
        <f t="array" ref="P49">_xlfn.IFS(Computed_insight___Success_of_active_sellers__2[[#This Row],[rating]]&gt;=4.5, "Excellent ", Computed_insight___Success_of_active_sellers__2[[#This Row],[rating]]&gt;=4, "Good ", Computed_insight___Success_of_active_sellers__2[[#This Row],[rating]]&gt;=3.5, "Average", TRUE, "Poor ")</f>
        <v xml:space="preserve">Good </v>
      </c>
      <c r="Q49" s="2" t="str" cm="1">
        <f t="array" ref="Q4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9" s="2" t="str">
        <f>IF(Computed_insight___Success_of_active_sellers__2[[#This Row],[totalurgencycount]]&gt;0, "Has Banner", "No Banner")</f>
        <v>Has Banner</v>
      </c>
    </row>
    <row r="50" spans="1:18" x14ac:dyDescent="0.3">
      <c r="A50">
        <v>48</v>
      </c>
      <c r="B50" t="s">
        <v>246</v>
      </c>
      <c r="C50">
        <v>3</v>
      </c>
      <c r="D50">
        <v>30000</v>
      </c>
      <c r="E50">
        <v>10000</v>
      </c>
      <c r="F50">
        <v>4.3099999999999996</v>
      </c>
      <c r="G50">
        <v>78616</v>
      </c>
      <c r="H50">
        <v>12.67</v>
      </c>
      <c r="I50">
        <v>11.33</v>
      </c>
      <c r="J50">
        <v>-11</v>
      </c>
      <c r="K50">
        <v>-11.33</v>
      </c>
      <c r="L50">
        <v>2641</v>
      </c>
      <c r="M50">
        <v>2</v>
      </c>
      <c r="N50">
        <v>67</v>
      </c>
      <c r="O50" s="2" t="str" cm="1">
        <f t="array" ref="O5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50" s="2" t="str" cm="1">
        <f t="array" ref="P50">_xlfn.IFS(Computed_insight___Success_of_active_sellers__2[[#This Row],[rating]]&gt;=4.5, "Excellent ", Computed_insight___Success_of_active_sellers__2[[#This Row],[rating]]&gt;=4, "Good ", Computed_insight___Success_of_active_sellers__2[[#This Row],[rating]]&gt;=3.5, "Average", TRUE, "Poor ")</f>
        <v xml:space="preserve">Good </v>
      </c>
      <c r="Q50" s="2" t="str" cm="1">
        <f t="array" ref="Q5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0" s="2" t="str">
        <f>IF(Computed_insight___Success_of_active_sellers__2[[#This Row],[totalurgencycount]]&gt;0, "Has Banner", "No Banner")</f>
        <v>Has Banner</v>
      </c>
    </row>
    <row r="51" spans="1:18" x14ac:dyDescent="0.3">
      <c r="A51">
        <v>49</v>
      </c>
      <c r="B51" t="s">
        <v>533</v>
      </c>
      <c r="C51">
        <v>4</v>
      </c>
      <c r="D51">
        <v>30000</v>
      </c>
      <c r="E51">
        <v>7500</v>
      </c>
      <c r="F51">
        <v>4.09</v>
      </c>
      <c r="G51">
        <v>14095</v>
      </c>
      <c r="H51">
        <v>6</v>
      </c>
      <c r="I51">
        <v>5.75</v>
      </c>
      <c r="J51">
        <v>-2</v>
      </c>
      <c r="K51">
        <v>-2.5</v>
      </c>
      <c r="L51">
        <v>990</v>
      </c>
      <c r="M51">
        <v>2</v>
      </c>
      <c r="N51">
        <v>50</v>
      </c>
      <c r="O51" s="2" t="str" cm="1">
        <f t="array" ref="O5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51" s="2" t="str" cm="1">
        <f t="array" ref="P51">_xlfn.IFS(Computed_insight___Success_of_active_sellers__2[[#This Row],[rating]]&gt;=4.5, "Excellent ", Computed_insight___Success_of_active_sellers__2[[#This Row],[rating]]&gt;=4, "Good ", Computed_insight___Success_of_active_sellers__2[[#This Row],[rating]]&gt;=3.5, "Average", TRUE, "Poor ")</f>
        <v xml:space="preserve">Good </v>
      </c>
      <c r="Q51" s="2" t="str" cm="1">
        <f t="array" ref="Q5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1" s="2" t="str">
        <f>IF(Computed_insight___Success_of_active_sellers__2[[#This Row],[totalurgencycount]]&gt;0, "Has Banner", "No Banner")</f>
        <v>Has Banner</v>
      </c>
    </row>
    <row r="52" spans="1:18" x14ac:dyDescent="0.3">
      <c r="A52">
        <v>50</v>
      </c>
      <c r="B52" t="s">
        <v>599</v>
      </c>
      <c r="C52">
        <v>2</v>
      </c>
      <c r="D52">
        <v>30000</v>
      </c>
      <c r="E52">
        <v>15000</v>
      </c>
      <c r="F52">
        <v>3.903</v>
      </c>
      <c r="G52">
        <v>25356</v>
      </c>
      <c r="H52">
        <v>8.5</v>
      </c>
      <c r="I52">
        <v>22</v>
      </c>
      <c r="J52">
        <v>55</v>
      </c>
      <c r="K52">
        <v>55</v>
      </c>
      <c r="L52">
        <v>2348</v>
      </c>
      <c r="O52" s="2" t="str" cm="1">
        <f t="array" ref="O5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52" s="2" t="str" cm="1">
        <f t="array" ref="P52">_xlfn.IFS(Computed_insight___Success_of_active_sellers__2[[#This Row],[rating]]&gt;=4.5, "Excellent ", Computed_insight___Success_of_active_sellers__2[[#This Row],[rating]]&gt;=4, "Good ", Computed_insight___Success_of_active_sellers__2[[#This Row],[rating]]&gt;=3.5, "Average", TRUE, "Poor ")</f>
        <v>Average</v>
      </c>
      <c r="Q52" s="2" t="str" cm="1">
        <f t="array" ref="Q5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2" s="2" t="str">
        <f>IF(Computed_insight___Success_of_active_sellers__2[[#This Row],[totalurgencycount]]&gt;0, "Has Banner", "No Banner")</f>
        <v>No Banner</v>
      </c>
    </row>
    <row r="53" spans="1:18" x14ac:dyDescent="0.3">
      <c r="A53">
        <v>51</v>
      </c>
      <c r="B53" t="s">
        <v>229</v>
      </c>
      <c r="C53">
        <v>2</v>
      </c>
      <c r="D53">
        <v>30000</v>
      </c>
      <c r="E53">
        <v>15000</v>
      </c>
      <c r="F53">
        <v>3.9990000000000001</v>
      </c>
      <c r="G53">
        <v>45964</v>
      </c>
      <c r="H53">
        <v>5.41</v>
      </c>
      <c r="I53">
        <v>5.5</v>
      </c>
      <c r="J53">
        <v>2</v>
      </c>
      <c r="K53">
        <v>2</v>
      </c>
      <c r="L53">
        <v>2493</v>
      </c>
      <c r="O53" s="2" t="str" cm="1">
        <f t="array" ref="O5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53" s="2" t="str" cm="1">
        <f t="array" ref="P53">_xlfn.IFS(Computed_insight___Success_of_active_sellers__2[[#This Row],[rating]]&gt;=4.5, "Excellent ", Computed_insight___Success_of_active_sellers__2[[#This Row],[rating]]&gt;=4, "Good ", Computed_insight___Success_of_active_sellers__2[[#This Row],[rating]]&gt;=3.5, "Average", TRUE, "Poor ")</f>
        <v>Average</v>
      </c>
      <c r="Q53" s="2" t="str" cm="1">
        <f t="array" ref="Q53">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53" s="2" t="str">
        <f>IF(Computed_insight___Success_of_active_sellers__2[[#This Row],[totalurgencycount]]&gt;0, "Has Banner", "No Banner")</f>
        <v>No Banner</v>
      </c>
    </row>
    <row r="54" spans="1:18" x14ac:dyDescent="0.3">
      <c r="A54">
        <v>52</v>
      </c>
      <c r="B54" t="s">
        <v>26</v>
      </c>
      <c r="C54">
        <v>9</v>
      </c>
      <c r="D54">
        <v>28100</v>
      </c>
      <c r="E54">
        <v>3122</v>
      </c>
      <c r="F54">
        <v>4.0069999999999997</v>
      </c>
      <c r="G54">
        <v>80093</v>
      </c>
      <c r="H54">
        <v>9.58</v>
      </c>
      <c r="I54">
        <v>17.78</v>
      </c>
      <c r="J54">
        <v>18</v>
      </c>
      <c r="K54">
        <v>17.670000000000002</v>
      </c>
      <c r="L54">
        <v>390</v>
      </c>
      <c r="M54">
        <v>3</v>
      </c>
      <c r="N54">
        <v>33</v>
      </c>
      <c r="O54" s="2" t="str" cm="1">
        <f t="array" ref="O5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54" s="2" t="str" cm="1">
        <f t="array" ref="P54">_xlfn.IFS(Computed_insight___Success_of_active_sellers__2[[#This Row],[rating]]&gt;=4.5, "Excellent ", Computed_insight___Success_of_active_sellers__2[[#This Row],[rating]]&gt;=4, "Good ", Computed_insight___Success_of_active_sellers__2[[#This Row],[rating]]&gt;=3.5, "Average", TRUE, "Poor ")</f>
        <v xml:space="preserve">Good </v>
      </c>
      <c r="Q54" s="2" t="str" cm="1">
        <f t="array" ref="Q54">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54" s="2" t="str">
        <f>IF(Computed_insight___Success_of_active_sellers__2[[#This Row],[totalurgencycount]]&gt;0, "Has Banner", "No Banner")</f>
        <v>Has Banner</v>
      </c>
    </row>
    <row r="55" spans="1:18" x14ac:dyDescent="0.3">
      <c r="A55">
        <v>53</v>
      </c>
      <c r="B55" t="s">
        <v>522</v>
      </c>
      <c r="C55">
        <v>4</v>
      </c>
      <c r="D55">
        <v>27000</v>
      </c>
      <c r="E55">
        <v>6750</v>
      </c>
      <c r="F55">
        <v>3.9249999999999998</v>
      </c>
      <c r="G55">
        <v>12441</v>
      </c>
      <c r="H55">
        <v>10</v>
      </c>
      <c r="I55">
        <v>9</v>
      </c>
      <c r="J55">
        <v>-11</v>
      </c>
      <c r="K55">
        <v>-11</v>
      </c>
      <c r="L55">
        <v>984</v>
      </c>
      <c r="M55">
        <v>1</v>
      </c>
      <c r="N55">
        <v>25</v>
      </c>
      <c r="O55" s="2" t="str" cm="1">
        <f t="array" ref="O5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55" s="2" t="str" cm="1">
        <f t="array" ref="P55">_xlfn.IFS(Computed_insight___Success_of_active_sellers__2[[#This Row],[rating]]&gt;=4.5, "Excellent ", Computed_insight___Success_of_active_sellers__2[[#This Row],[rating]]&gt;=4, "Good ", Computed_insight___Success_of_active_sellers__2[[#This Row],[rating]]&gt;=3.5, "Average", TRUE, "Poor ")</f>
        <v>Average</v>
      </c>
      <c r="Q55" s="2" t="str" cm="1">
        <f t="array" ref="Q5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5" s="2" t="str">
        <f>IF(Computed_insight___Success_of_active_sellers__2[[#This Row],[totalurgencycount]]&gt;0, "Has Banner", "No Banner")</f>
        <v>Has Banner</v>
      </c>
    </row>
    <row r="56" spans="1:18" x14ac:dyDescent="0.3">
      <c r="A56">
        <v>54</v>
      </c>
      <c r="B56" t="s">
        <v>146</v>
      </c>
      <c r="C56">
        <v>5</v>
      </c>
      <c r="D56">
        <v>26100</v>
      </c>
      <c r="E56">
        <v>5220</v>
      </c>
      <c r="F56">
        <v>3.9289999999999998</v>
      </c>
      <c r="G56">
        <v>24564</v>
      </c>
      <c r="H56">
        <v>7.76</v>
      </c>
      <c r="I56">
        <v>21.8</v>
      </c>
      <c r="J56">
        <v>17</v>
      </c>
      <c r="K56">
        <v>16.8</v>
      </c>
      <c r="L56">
        <v>1099</v>
      </c>
      <c r="M56">
        <v>2</v>
      </c>
      <c r="N56">
        <v>40</v>
      </c>
      <c r="O56" s="2" t="str" cm="1">
        <f t="array" ref="O5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56" s="2" t="str" cm="1">
        <f t="array" ref="P56">_xlfn.IFS(Computed_insight___Success_of_active_sellers__2[[#This Row],[rating]]&gt;=4.5, "Excellent ", Computed_insight___Success_of_active_sellers__2[[#This Row],[rating]]&gt;=4, "Good ", Computed_insight___Success_of_active_sellers__2[[#This Row],[rating]]&gt;=3.5, "Average", TRUE, "Poor ")</f>
        <v>Average</v>
      </c>
      <c r="Q56" s="2" t="str" cm="1">
        <f t="array" ref="Q56">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56" s="2" t="str">
        <f>IF(Computed_insight___Success_of_active_sellers__2[[#This Row],[totalurgencycount]]&gt;0, "Has Banner", "No Banner")</f>
        <v>Has Banner</v>
      </c>
    </row>
    <row r="57" spans="1:18" x14ac:dyDescent="0.3">
      <c r="A57">
        <v>55</v>
      </c>
      <c r="B57" t="s">
        <v>70</v>
      </c>
      <c r="C57">
        <v>4</v>
      </c>
      <c r="D57">
        <v>26000</v>
      </c>
      <c r="E57">
        <v>6500</v>
      </c>
      <c r="F57">
        <v>3.8719999999999999</v>
      </c>
      <c r="G57">
        <v>8821</v>
      </c>
      <c r="H57">
        <v>10</v>
      </c>
      <c r="I57">
        <v>8.75</v>
      </c>
      <c r="J57">
        <v>-14</v>
      </c>
      <c r="K57">
        <v>-14</v>
      </c>
      <c r="L57">
        <v>1537</v>
      </c>
      <c r="M57">
        <v>1</v>
      </c>
      <c r="N57">
        <v>25</v>
      </c>
      <c r="O57" s="2" t="str" cm="1">
        <f t="array" ref="O5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57" s="2" t="str" cm="1">
        <f t="array" ref="P57">_xlfn.IFS(Computed_insight___Success_of_active_sellers__2[[#This Row],[rating]]&gt;=4.5, "Excellent ", Computed_insight___Success_of_active_sellers__2[[#This Row],[rating]]&gt;=4, "Good ", Computed_insight___Success_of_active_sellers__2[[#This Row],[rating]]&gt;=3.5, "Average", TRUE, "Poor ")</f>
        <v>Average</v>
      </c>
      <c r="Q57" s="2" t="str" cm="1">
        <f t="array" ref="Q5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7" s="2" t="str">
        <f>IF(Computed_insight___Success_of_active_sellers__2[[#This Row],[totalurgencycount]]&gt;0, "Has Banner", "No Banner")</f>
        <v>Has Banner</v>
      </c>
    </row>
    <row r="58" spans="1:18" x14ac:dyDescent="0.3">
      <c r="A58">
        <v>56</v>
      </c>
      <c r="B58" t="s">
        <v>25</v>
      </c>
      <c r="C58">
        <v>4</v>
      </c>
      <c r="D58">
        <v>26000</v>
      </c>
      <c r="E58">
        <v>6500</v>
      </c>
      <c r="F58">
        <v>4.2649999999999997</v>
      </c>
      <c r="G58">
        <v>96838</v>
      </c>
      <c r="H58">
        <v>6.34</v>
      </c>
      <c r="I58">
        <v>5.5</v>
      </c>
      <c r="J58">
        <v>-15</v>
      </c>
      <c r="K58">
        <v>-15</v>
      </c>
      <c r="L58">
        <v>959</v>
      </c>
      <c r="M58">
        <v>2</v>
      </c>
      <c r="N58">
        <v>50</v>
      </c>
      <c r="O58" s="2" t="str" cm="1">
        <f t="array" ref="O5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58" s="2" t="str" cm="1">
        <f t="array" ref="P58">_xlfn.IFS(Computed_insight___Success_of_active_sellers__2[[#This Row],[rating]]&gt;=4.5, "Excellent ", Computed_insight___Success_of_active_sellers__2[[#This Row],[rating]]&gt;=4, "Good ", Computed_insight___Success_of_active_sellers__2[[#This Row],[rating]]&gt;=3.5, "Average", TRUE, "Poor ")</f>
        <v xml:space="preserve">Good </v>
      </c>
      <c r="Q58" s="2" t="str" cm="1">
        <f t="array" ref="Q5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8" s="2" t="str">
        <f>IF(Computed_insight___Success_of_active_sellers__2[[#This Row],[totalurgencycount]]&gt;0, "Has Banner", "No Banner")</f>
        <v>Has Banner</v>
      </c>
    </row>
    <row r="59" spans="1:18" x14ac:dyDescent="0.3">
      <c r="A59">
        <v>57</v>
      </c>
      <c r="B59" t="s">
        <v>47</v>
      </c>
      <c r="C59">
        <v>6</v>
      </c>
      <c r="D59">
        <v>25200</v>
      </c>
      <c r="E59">
        <v>4200</v>
      </c>
      <c r="F59">
        <v>3.9089999999999998</v>
      </c>
      <c r="G59">
        <v>10474</v>
      </c>
      <c r="H59">
        <v>7.83</v>
      </c>
      <c r="I59">
        <v>7.17</v>
      </c>
      <c r="J59">
        <v>-8</v>
      </c>
      <c r="K59">
        <v>-8.33</v>
      </c>
      <c r="L59">
        <v>713</v>
      </c>
      <c r="M59">
        <v>4</v>
      </c>
      <c r="N59">
        <v>67</v>
      </c>
      <c r="O59" s="2" t="str" cm="1">
        <f t="array" ref="O5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59" s="2" t="str" cm="1">
        <f t="array" ref="P59">_xlfn.IFS(Computed_insight___Success_of_active_sellers__2[[#This Row],[rating]]&gt;=4.5, "Excellent ", Computed_insight___Success_of_active_sellers__2[[#This Row],[rating]]&gt;=4, "Good ", Computed_insight___Success_of_active_sellers__2[[#This Row],[rating]]&gt;=3.5, "Average", TRUE, "Poor ")</f>
        <v>Average</v>
      </c>
      <c r="Q59" s="2" t="str" cm="1">
        <f t="array" ref="Q5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9" s="2" t="str">
        <f>IF(Computed_insight___Success_of_active_sellers__2[[#This Row],[totalurgencycount]]&gt;0, "Has Banner", "No Banner")</f>
        <v>Has Banner</v>
      </c>
    </row>
    <row r="60" spans="1:18" x14ac:dyDescent="0.3">
      <c r="A60">
        <v>58</v>
      </c>
      <c r="B60" t="s">
        <v>188</v>
      </c>
      <c r="C60">
        <v>4</v>
      </c>
      <c r="D60">
        <v>25100</v>
      </c>
      <c r="E60">
        <v>6275</v>
      </c>
      <c r="F60">
        <v>3.9390000000000001</v>
      </c>
      <c r="G60">
        <v>35262</v>
      </c>
      <c r="H60">
        <v>7</v>
      </c>
      <c r="I60">
        <v>21.75</v>
      </c>
      <c r="J60">
        <v>42</v>
      </c>
      <c r="K60">
        <v>41.5</v>
      </c>
      <c r="L60">
        <v>948</v>
      </c>
      <c r="M60">
        <v>1</v>
      </c>
      <c r="N60">
        <v>25</v>
      </c>
      <c r="O60" s="2" t="str" cm="1">
        <f t="array" ref="O6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60" s="2" t="str" cm="1">
        <f t="array" ref="P60">_xlfn.IFS(Computed_insight___Success_of_active_sellers__2[[#This Row],[rating]]&gt;=4.5, "Excellent ", Computed_insight___Success_of_active_sellers__2[[#This Row],[rating]]&gt;=4, "Good ", Computed_insight___Success_of_active_sellers__2[[#This Row],[rating]]&gt;=3.5, "Average", TRUE, "Poor ")</f>
        <v>Average</v>
      </c>
      <c r="Q60" s="2" t="str" cm="1">
        <f t="array" ref="Q60">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60" s="2" t="str">
        <f>IF(Computed_insight___Success_of_active_sellers__2[[#This Row],[totalurgencycount]]&gt;0, "Has Banner", "No Banner")</f>
        <v>Has Banner</v>
      </c>
    </row>
    <row r="61" spans="1:18" x14ac:dyDescent="0.3">
      <c r="A61">
        <v>59</v>
      </c>
      <c r="B61" t="s">
        <v>56</v>
      </c>
      <c r="C61">
        <v>2</v>
      </c>
      <c r="D61">
        <v>25000</v>
      </c>
      <c r="E61">
        <v>12500</v>
      </c>
      <c r="F61">
        <v>3.9990000000000001</v>
      </c>
      <c r="G61">
        <v>20681</v>
      </c>
      <c r="H61">
        <v>9</v>
      </c>
      <c r="I61">
        <v>8.5</v>
      </c>
      <c r="J61">
        <v>-6</v>
      </c>
      <c r="K61">
        <v>-6</v>
      </c>
      <c r="L61">
        <v>2809</v>
      </c>
      <c r="M61">
        <v>1</v>
      </c>
      <c r="N61">
        <v>50</v>
      </c>
      <c r="O61" s="2" t="str" cm="1">
        <f t="array" ref="O6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61" s="2" t="str" cm="1">
        <f t="array" ref="P61">_xlfn.IFS(Computed_insight___Success_of_active_sellers__2[[#This Row],[rating]]&gt;=4.5, "Excellent ", Computed_insight___Success_of_active_sellers__2[[#This Row],[rating]]&gt;=4, "Good ", Computed_insight___Success_of_active_sellers__2[[#This Row],[rating]]&gt;=3.5, "Average", TRUE, "Poor ")</f>
        <v>Average</v>
      </c>
      <c r="Q61" s="2" t="str" cm="1">
        <f t="array" ref="Q6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1" s="2" t="str">
        <f>IF(Computed_insight___Success_of_active_sellers__2[[#This Row],[totalurgencycount]]&gt;0, "Has Banner", "No Banner")</f>
        <v>Has Banner</v>
      </c>
    </row>
    <row r="62" spans="1:18" x14ac:dyDescent="0.3">
      <c r="A62">
        <v>60</v>
      </c>
      <c r="B62" t="s">
        <v>825</v>
      </c>
      <c r="C62">
        <v>2</v>
      </c>
      <c r="D62">
        <v>25000</v>
      </c>
      <c r="E62">
        <v>12500</v>
      </c>
      <c r="F62">
        <v>4.0949999999999998</v>
      </c>
      <c r="G62">
        <v>11854</v>
      </c>
      <c r="H62">
        <v>6.87</v>
      </c>
      <c r="I62">
        <v>6</v>
      </c>
      <c r="J62">
        <v>-14</v>
      </c>
      <c r="K62">
        <v>-14</v>
      </c>
      <c r="L62">
        <v>2130</v>
      </c>
      <c r="O62" s="2" t="str" cm="1">
        <f t="array" ref="O6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62" s="2" t="str" cm="1">
        <f t="array" ref="P62">_xlfn.IFS(Computed_insight___Success_of_active_sellers__2[[#This Row],[rating]]&gt;=4.5, "Excellent ", Computed_insight___Success_of_active_sellers__2[[#This Row],[rating]]&gt;=4, "Good ", Computed_insight___Success_of_active_sellers__2[[#This Row],[rating]]&gt;=3.5, "Average", TRUE, "Poor ")</f>
        <v xml:space="preserve">Good </v>
      </c>
      <c r="Q62" s="2" t="str" cm="1">
        <f t="array" ref="Q6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2" s="2" t="str">
        <f>IF(Computed_insight___Success_of_active_sellers__2[[#This Row],[totalurgencycount]]&gt;0, "Has Banner", "No Banner")</f>
        <v>No Banner</v>
      </c>
    </row>
    <row r="63" spans="1:18" x14ac:dyDescent="0.3">
      <c r="A63">
        <v>61</v>
      </c>
      <c r="B63" t="s">
        <v>309</v>
      </c>
      <c r="C63">
        <v>4</v>
      </c>
      <c r="D63">
        <v>22100</v>
      </c>
      <c r="E63">
        <v>5525</v>
      </c>
      <c r="F63">
        <v>3.8719999999999999</v>
      </c>
      <c r="G63">
        <v>22711</v>
      </c>
      <c r="H63">
        <v>12.75</v>
      </c>
      <c r="I63">
        <v>40.5</v>
      </c>
      <c r="J63">
        <v>69</v>
      </c>
      <c r="K63">
        <v>68.5</v>
      </c>
      <c r="L63">
        <v>382</v>
      </c>
      <c r="M63">
        <v>1</v>
      </c>
      <c r="N63">
        <v>25</v>
      </c>
      <c r="O63" s="2" t="str" cm="1">
        <f t="array" ref="O6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63" s="2" t="str" cm="1">
        <f t="array" ref="P63">_xlfn.IFS(Computed_insight___Success_of_active_sellers__2[[#This Row],[rating]]&gt;=4.5, "Excellent ", Computed_insight___Success_of_active_sellers__2[[#This Row],[rating]]&gt;=4, "Good ", Computed_insight___Success_of_active_sellers__2[[#This Row],[rating]]&gt;=3.5, "Average", TRUE, "Poor ")</f>
        <v>Average</v>
      </c>
      <c r="Q63" s="2" t="str" cm="1">
        <f t="array" ref="Q6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3" s="2" t="str">
        <f>IF(Computed_insight___Success_of_active_sellers__2[[#This Row],[totalurgencycount]]&gt;0, "Has Banner", "No Banner")</f>
        <v>Has Banner</v>
      </c>
    </row>
    <row r="64" spans="1:18" x14ac:dyDescent="0.3">
      <c r="A64">
        <v>62</v>
      </c>
      <c r="B64" t="s">
        <v>23</v>
      </c>
      <c r="C64">
        <v>4</v>
      </c>
      <c r="D64">
        <v>22100</v>
      </c>
      <c r="E64">
        <v>5525</v>
      </c>
      <c r="F64">
        <v>3.9809999999999999</v>
      </c>
      <c r="G64">
        <v>12913</v>
      </c>
      <c r="H64">
        <v>11.25</v>
      </c>
      <c r="I64">
        <v>29.25</v>
      </c>
      <c r="J64">
        <v>25</v>
      </c>
      <c r="K64">
        <v>25.25</v>
      </c>
      <c r="L64">
        <v>972</v>
      </c>
      <c r="M64">
        <v>1</v>
      </c>
      <c r="N64">
        <v>25</v>
      </c>
      <c r="O64" s="2" t="str" cm="1">
        <f t="array" ref="O6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64" s="2" t="str" cm="1">
        <f t="array" ref="P64">_xlfn.IFS(Computed_insight___Success_of_active_sellers__2[[#This Row],[rating]]&gt;=4.5, "Excellent ", Computed_insight___Success_of_active_sellers__2[[#This Row],[rating]]&gt;=4, "Good ", Computed_insight___Success_of_active_sellers__2[[#This Row],[rating]]&gt;=3.5, "Average", TRUE, "Poor ")</f>
        <v>Average</v>
      </c>
      <c r="Q64" s="2" t="str" cm="1">
        <f t="array" ref="Q64">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64" s="2" t="str">
        <f>IF(Computed_insight___Success_of_active_sellers__2[[#This Row],[totalurgencycount]]&gt;0, "Has Banner", "No Banner")</f>
        <v>Has Banner</v>
      </c>
    </row>
    <row r="65" spans="1:18" x14ac:dyDescent="0.3">
      <c r="A65">
        <v>63</v>
      </c>
      <c r="B65" t="s">
        <v>265</v>
      </c>
      <c r="C65">
        <v>3</v>
      </c>
      <c r="D65">
        <v>22000</v>
      </c>
      <c r="E65">
        <v>7333</v>
      </c>
      <c r="F65">
        <v>3.8809999999999998</v>
      </c>
      <c r="G65">
        <v>3771</v>
      </c>
      <c r="H65">
        <v>8</v>
      </c>
      <c r="I65">
        <v>7</v>
      </c>
      <c r="J65">
        <v>-14</v>
      </c>
      <c r="K65">
        <v>-14</v>
      </c>
      <c r="L65">
        <v>766</v>
      </c>
      <c r="M65">
        <v>1</v>
      </c>
      <c r="N65">
        <v>33</v>
      </c>
      <c r="O65" s="2" t="str" cm="1">
        <f t="array" ref="O6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65" s="2" t="str" cm="1">
        <f t="array" ref="P65">_xlfn.IFS(Computed_insight___Success_of_active_sellers__2[[#This Row],[rating]]&gt;=4.5, "Excellent ", Computed_insight___Success_of_active_sellers__2[[#This Row],[rating]]&gt;=4, "Good ", Computed_insight___Success_of_active_sellers__2[[#This Row],[rating]]&gt;=3.5, "Average", TRUE, "Poor ")</f>
        <v>Average</v>
      </c>
      <c r="Q65" s="2" t="str" cm="1">
        <f t="array" ref="Q6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5" s="2" t="str">
        <f>IF(Computed_insight___Success_of_active_sellers__2[[#This Row],[totalurgencycount]]&gt;0, "Has Banner", "No Banner")</f>
        <v>Has Banner</v>
      </c>
    </row>
    <row r="66" spans="1:18" x14ac:dyDescent="0.3">
      <c r="A66">
        <v>64</v>
      </c>
      <c r="B66" t="s">
        <v>11</v>
      </c>
      <c r="C66">
        <v>5</v>
      </c>
      <c r="D66">
        <v>22000</v>
      </c>
      <c r="E66">
        <v>4400</v>
      </c>
      <c r="F66">
        <v>4</v>
      </c>
      <c r="G66">
        <v>5534</v>
      </c>
      <c r="H66">
        <v>8.36</v>
      </c>
      <c r="I66">
        <v>25.2</v>
      </c>
      <c r="J66">
        <v>68</v>
      </c>
      <c r="K66">
        <v>67.599999999999994</v>
      </c>
      <c r="L66">
        <v>930</v>
      </c>
      <c r="M66">
        <v>2</v>
      </c>
      <c r="N66">
        <v>40</v>
      </c>
      <c r="O66" s="2" t="str" cm="1">
        <f t="array" ref="O6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66" s="2" t="str" cm="1">
        <f t="array" ref="P66">_xlfn.IFS(Computed_insight___Success_of_active_sellers__2[[#This Row],[rating]]&gt;=4.5, "Excellent ", Computed_insight___Success_of_active_sellers__2[[#This Row],[rating]]&gt;=4, "Good ", Computed_insight___Success_of_active_sellers__2[[#This Row],[rating]]&gt;=3.5, "Average", TRUE, "Poor ")</f>
        <v xml:space="preserve">Good </v>
      </c>
      <c r="Q66" s="2" t="str" cm="1">
        <f t="array" ref="Q6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6" s="2" t="str">
        <f>IF(Computed_insight___Success_of_active_sellers__2[[#This Row],[totalurgencycount]]&gt;0, "Has Banner", "No Banner")</f>
        <v>Has Banner</v>
      </c>
    </row>
    <row r="67" spans="1:18" x14ac:dyDescent="0.3">
      <c r="A67">
        <v>65</v>
      </c>
      <c r="B67" t="s">
        <v>3</v>
      </c>
      <c r="C67">
        <v>6</v>
      </c>
      <c r="D67">
        <v>21400</v>
      </c>
      <c r="E67">
        <v>3567</v>
      </c>
      <c r="F67">
        <v>3.9</v>
      </c>
      <c r="G67">
        <v>17752</v>
      </c>
      <c r="H67">
        <v>5.68</v>
      </c>
      <c r="I67">
        <v>10.33</v>
      </c>
      <c r="J67">
        <v>38</v>
      </c>
      <c r="K67">
        <v>37.83</v>
      </c>
      <c r="L67">
        <v>1057</v>
      </c>
      <c r="M67">
        <v>3</v>
      </c>
      <c r="N67">
        <v>50</v>
      </c>
      <c r="O67" s="2" t="str" cm="1">
        <f t="array" ref="O6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67" s="2" t="str" cm="1">
        <f t="array" ref="P67">_xlfn.IFS(Computed_insight___Success_of_active_sellers__2[[#This Row],[rating]]&gt;=4.5, "Excellent ", Computed_insight___Success_of_active_sellers__2[[#This Row],[rating]]&gt;=4, "Good ", Computed_insight___Success_of_active_sellers__2[[#This Row],[rating]]&gt;=3.5, "Average", TRUE, "Poor ")</f>
        <v>Average</v>
      </c>
      <c r="Q67" s="2" t="str" cm="1">
        <f t="array" ref="Q67">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67" s="2" t="str">
        <f>IF(Computed_insight___Success_of_active_sellers__2[[#This Row],[totalurgencycount]]&gt;0, "Has Banner", "No Banner")</f>
        <v>Has Banner</v>
      </c>
    </row>
    <row r="68" spans="1:18" x14ac:dyDescent="0.3">
      <c r="A68">
        <v>66</v>
      </c>
      <c r="B68" t="s">
        <v>479</v>
      </c>
      <c r="C68">
        <v>4</v>
      </c>
      <c r="D68">
        <v>21100</v>
      </c>
      <c r="E68">
        <v>5275</v>
      </c>
      <c r="F68">
        <v>4.2009999999999996</v>
      </c>
      <c r="G68">
        <v>90105</v>
      </c>
      <c r="H68">
        <v>13.25</v>
      </c>
      <c r="I68">
        <v>93</v>
      </c>
      <c r="J68">
        <v>86</v>
      </c>
      <c r="K68">
        <v>86.25</v>
      </c>
      <c r="L68">
        <v>1060</v>
      </c>
      <c r="M68">
        <v>2</v>
      </c>
      <c r="N68">
        <v>50</v>
      </c>
      <c r="O68" s="2" t="str" cm="1">
        <f t="array" ref="O6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68" s="2" t="str" cm="1">
        <f t="array" ref="P68">_xlfn.IFS(Computed_insight___Success_of_active_sellers__2[[#This Row],[rating]]&gt;=4.5, "Excellent ", Computed_insight___Success_of_active_sellers__2[[#This Row],[rating]]&gt;=4, "Good ", Computed_insight___Success_of_active_sellers__2[[#This Row],[rating]]&gt;=3.5, "Average", TRUE, "Poor ")</f>
        <v xml:space="preserve">Good </v>
      </c>
      <c r="Q68" s="2" t="str" cm="1">
        <f t="array" ref="Q6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8" s="2" t="str">
        <f>IF(Computed_insight___Success_of_active_sellers__2[[#This Row],[totalurgencycount]]&gt;0, "Has Banner", "No Banner")</f>
        <v>Has Banner</v>
      </c>
    </row>
    <row r="69" spans="1:18" x14ac:dyDescent="0.3">
      <c r="A69">
        <v>67</v>
      </c>
      <c r="B69" t="s">
        <v>426</v>
      </c>
      <c r="C69">
        <v>2</v>
      </c>
      <c r="D69">
        <v>21000</v>
      </c>
      <c r="E69">
        <v>10500</v>
      </c>
      <c r="F69">
        <v>3.9980000000000002</v>
      </c>
      <c r="G69">
        <v>40245</v>
      </c>
      <c r="H69">
        <v>8.5</v>
      </c>
      <c r="I69">
        <v>7.5</v>
      </c>
      <c r="J69">
        <v>-13</v>
      </c>
      <c r="K69">
        <v>-13</v>
      </c>
      <c r="L69">
        <v>4913</v>
      </c>
      <c r="M69">
        <v>1</v>
      </c>
      <c r="N69">
        <v>50</v>
      </c>
      <c r="O69" s="2" t="str" cm="1">
        <f t="array" ref="O6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69" s="2" t="str" cm="1">
        <f t="array" ref="P69">_xlfn.IFS(Computed_insight___Success_of_active_sellers__2[[#This Row],[rating]]&gt;=4.5, "Excellent ", Computed_insight___Success_of_active_sellers__2[[#This Row],[rating]]&gt;=4, "Good ", Computed_insight___Success_of_active_sellers__2[[#This Row],[rating]]&gt;=3.5, "Average", TRUE, "Poor ")</f>
        <v>Average</v>
      </c>
      <c r="Q69" s="2" t="str" cm="1">
        <f t="array" ref="Q6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9" s="2" t="str">
        <f>IF(Computed_insight___Success_of_active_sellers__2[[#This Row],[totalurgencycount]]&gt;0, "Has Banner", "No Banner")</f>
        <v>Has Banner</v>
      </c>
    </row>
    <row r="70" spans="1:18" x14ac:dyDescent="0.3">
      <c r="A70">
        <v>68</v>
      </c>
      <c r="B70" t="s">
        <v>244</v>
      </c>
      <c r="C70">
        <v>2</v>
      </c>
      <c r="D70">
        <v>21000</v>
      </c>
      <c r="E70">
        <v>10500</v>
      </c>
      <c r="F70">
        <v>4.0229999999999997</v>
      </c>
      <c r="G70">
        <v>5281</v>
      </c>
      <c r="H70">
        <v>9.5</v>
      </c>
      <c r="I70">
        <v>8.5</v>
      </c>
      <c r="J70">
        <v>-12</v>
      </c>
      <c r="K70">
        <v>-12</v>
      </c>
      <c r="L70">
        <v>1127</v>
      </c>
      <c r="M70">
        <v>2</v>
      </c>
      <c r="N70">
        <v>100</v>
      </c>
      <c r="O70" s="2" t="str" cm="1">
        <f t="array" ref="O7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70" s="2" t="str" cm="1">
        <f t="array" ref="P70">_xlfn.IFS(Computed_insight___Success_of_active_sellers__2[[#This Row],[rating]]&gt;=4.5, "Excellent ", Computed_insight___Success_of_active_sellers__2[[#This Row],[rating]]&gt;=4, "Good ", Computed_insight___Success_of_active_sellers__2[[#This Row],[rating]]&gt;=3.5, "Average", TRUE, "Poor ")</f>
        <v xml:space="preserve">Good </v>
      </c>
      <c r="Q70" s="2" t="str" cm="1">
        <f t="array" ref="Q7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0" s="2" t="str">
        <f>IF(Computed_insight___Success_of_active_sellers__2[[#This Row],[totalurgencycount]]&gt;0, "Has Banner", "No Banner")</f>
        <v>Has Banner</v>
      </c>
    </row>
    <row r="71" spans="1:18" x14ac:dyDescent="0.3">
      <c r="A71">
        <v>69</v>
      </c>
      <c r="B71" t="s">
        <v>383</v>
      </c>
      <c r="C71">
        <v>2</v>
      </c>
      <c r="D71">
        <v>21000</v>
      </c>
      <c r="E71">
        <v>10500</v>
      </c>
      <c r="F71">
        <v>4.069</v>
      </c>
      <c r="G71">
        <v>25093</v>
      </c>
      <c r="H71">
        <v>8</v>
      </c>
      <c r="I71">
        <v>91</v>
      </c>
      <c r="J71">
        <v>92</v>
      </c>
      <c r="K71">
        <v>92</v>
      </c>
      <c r="L71">
        <v>5277</v>
      </c>
      <c r="M71">
        <v>1</v>
      </c>
      <c r="N71">
        <v>50</v>
      </c>
      <c r="O71" s="2" t="str" cm="1">
        <f t="array" ref="O7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71" s="2" t="str" cm="1">
        <f t="array" ref="P71">_xlfn.IFS(Computed_insight___Success_of_active_sellers__2[[#This Row],[rating]]&gt;=4.5, "Excellent ", Computed_insight___Success_of_active_sellers__2[[#This Row],[rating]]&gt;=4, "Good ", Computed_insight___Success_of_active_sellers__2[[#This Row],[rating]]&gt;=3.5, "Average", TRUE, "Poor ")</f>
        <v xml:space="preserve">Good </v>
      </c>
      <c r="Q71" s="2" t="str" cm="1">
        <f t="array" ref="Q7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1" s="2" t="str">
        <f>IF(Computed_insight___Success_of_active_sellers__2[[#This Row],[totalurgencycount]]&gt;0, "Has Banner", "No Banner")</f>
        <v>Has Banner</v>
      </c>
    </row>
    <row r="72" spans="1:18" x14ac:dyDescent="0.3">
      <c r="A72">
        <v>70</v>
      </c>
      <c r="B72" t="s">
        <v>223</v>
      </c>
      <c r="C72">
        <v>2</v>
      </c>
      <c r="D72">
        <v>21000</v>
      </c>
      <c r="E72">
        <v>10500</v>
      </c>
      <c r="F72">
        <v>4.085</v>
      </c>
      <c r="G72">
        <v>15076</v>
      </c>
      <c r="H72">
        <v>9</v>
      </c>
      <c r="I72">
        <v>13</v>
      </c>
      <c r="J72">
        <v>31</v>
      </c>
      <c r="K72">
        <v>31</v>
      </c>
      <c r="L72">
        <v>670</v>
      </c>
      <c r="M72">
        <v>1</v>
      </c>
      <c r="N72">
        <v>50</v>
      </c>
      <c r="O72" s="2" t="str" cm="1">
        <f t="array" ref="O7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72" s="2" t="str" cm="1">
        <f t="array" ref="P72">_xlfn.IFS(Computed_insight___Success_of_active_sellers__2[[#This Row],[rating]]&gt;=4.5, "Excellent ", Computed_insight___Success_of_active_sellers__2[[#This Row],[rating]]&gt;=4, "Good ", Computed_insight___Success_of_active_sellers__2[[#This Row],[rating]]&gt;=3.5, "Average", TRUE, "Poor ")</f>
        <v xml:space="preserve">Good </v>
      </c>
      <c r="Q72" s="2" t="str" cm="1">
        <f t="array" ref="Q72">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72" s="2" t="str">
        <f>IF(Computed_insight___Success_of_active_sellers__2[[#This Row],[totalurgencycount]]&gt;0, "Has Banner", "No Banner")</f>
        <v>Has Banner</v>
      </c>
    </row>
    <row r="73" spans="1:18" x14ac:dyDescent="0.3">
      <c r="A73">
        <v>71</v>
      </c>
      <c r="B73" t="s">
        <v>100</v>
      </c>
      <c r="C73">
        <v>2</v>
      </c>
      <c r="D73">
        <v>21000</v>
      </c>
      <c r="E73">
        <v>10500</v>
      </c>
      <c r="F73">
        <v>4.0990000000000002</v>
      </c>
      <c r="G73">
        <v>40616</v>
      </c>
      <c r="H73">
        <v>8.5</v>
      </c>
      <c r="I73">
        <v>7.5</v>
      </c>
      <c r="J73">
        <v>-13</v>
      </c>
      <c r="K73">
        <v>-13</v>
      </c>
      <c r="L73">
        <v>3514</v>
      </c>
      <c r="M73">
        <v>1</v>
      </c>
      <c r="N73">
        <v>50</v>
      </c>
      <c r="O73" s="2" t="str" cm="1">
        <f t="array" ref="O7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73" s="2" t="str" cm="1">
        <f t="array" ref="P73">_xlfn.IFS(Computed_insight___Success_of_active_sellers__2[[#This Row],[rating]]&gt;=4.5, "Excellent ", Computed_insight___Success_of_active_sellers__2[[#This Row],[rating]]&gt;=4, "Good ", Computed_insight___Success_of_active_sellers__2[[#This Row],[rating]]&gt;=3.5, "Average", TRUE, "Poor ")</f>
        <v xml:space="preserve">Good </v>
      </c>
      <c r="Q73" s="2" t="str" cm="1">
        <f t="array" ref="Q7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3" s="2" t="str">
        <f>IF(Computed_insight___Success_of_active_sellers__2[[#This Row],[totalurgencycount]]&gt;0, "Has Banner", "No Banner")</f>
        <v>Has Banner</v>
      </c>
    </row>
    <row r="74" spans="1:18" x14ac:dyDescent="0.3">
      <c r="A74">
        <v>72</v>
      </c>
      <c r="B74" t="s">
        <v>776</v>
      </c>
      <c r="C74">
        <v>2</v>
      </c>
      <c r="D74">
        <v>21000</v>
      </c>
      <c r="E74">
        <v>10500</v>
      </c>
      <c r="F74">
        <v>4.1900000000000004</v>
      </c>
      <c r="G74">
        <v>8191</v>
      </c>
      <c r="H74">
        <v>11.5</v>
      </c>
      <c r="I74">
        <v>106</v>
      </c>
      <c r="J74">
        <v>90</v>
      </c>
      <c r="K74">
        <v>90</v>
      </c>
      <c r="L74">
        <v>1711</v>
      </c>
      <c r="M74">
        <v>1</v>
      </c>
      <c r="N74">
        <v>50</v>
      </c>
      <c r="O74" s="2" t="str" cm="1">
        <f t="array" ref="O7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74" s="2" t="str" cm="1">
        <f t="array" ref="P74">_xlfn.IFS(Computed_insight___Success_of_active_sellers__2[[#This Row],[rating]]&gt;=4.5, "Excellent ", Computed_insight___Success_of_active_sellers__2[[#This Row],[rating]]&gt;=4, "Good ", Computed_insight___Success_of_active_sellers__2[[#This Row],[rating]]&gt;=3.5, "Average", TRUE, "Poor ")</f>
        <v xml:space="preserve">Good </v>
      </c>
      <c r="Q74" s="2" t="str" cm="1">
        <f t="array" ref="Q7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4" s="2" t="str">
        <f>IF(Computed_insight___Success_of_active_sellers__2[[#This Row],[totalurgencycount]]&gt;0, "Has Banner", "No Banner")</f>
        <v>Has Banner</v>
      </c>
    </row>
    <row r="75" spans="1:18" x14ac:dyDescent="0.3">
      <c r="A75">
        <v>73</v>
      </c>
      <c r="B75" t="s">
        <v>66</v>
      </c>
      <c r="C75">
        <v>5</v>
      </c>
      <c r="D75">
        <v>20300</v>
      </c>
      <c r="E75">
        <v>4060</v>
      </c>
      <c r="F75">
        <v>4.1379999999999999</v>
      </c>
      <c r="G75">
        <v>66644</v>
      </c>
      <c r="H75">
        <v>5.61</v>
      </c>
      <c r="I75">
        <v>5.2</v>
      </c>
      <c r="J75">
        <v>-3</v>
      </c>
      <c r="K75">
        <v>-3.2</v>
      </c>
      <c r="L75">
        <v>747</v>
      </c>
      <c r="M75">
        <v>2</v>
      </c>
      <c r="N75">
        <v>40</v>
      </c>
      <c r="O75" s="2" t="str" cm="1">
        <f t="array" ref="O7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75" s="2" t="str" cm="1">
        <f t="array" ref="P75">_xlfn.IFS(Computed_insight___Success_of_active_sellers__2[[#This Row],[rating]]&gt;=4.5, "Excellent ", Computed_insight___Success_of_active_sellers__2[[#This Row],[rating]]&gt;=4, "Good ", Computed_insight___Success_of_active_sellers__2[[#This Row],[rating]]&gt;=3.5, "Average", TRUE, "Poor ")</f>
        <v xml:space="preserve">Good </v>
      </c>
      <c r="Q75" s="2" t="str" cm="1">
        <f t="array" ref="Q7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5" s="2" t="str">
        <f>IF(Computed_insight___Success_of_active_sellers__2[[#This Row],[totalurgencycount]]&gt;0, "Has Banner", "No Banner")</f>
        <v>Has Banner</v>
      </c>
    </row>
    <row r="76" spans="1:18" x14ac:dyDescent="0.3">
      <c r="A76">
        <v>74</v>
      </c>
      <c r="B76" t="s">
        <v>6</v>
      </c>
      <c r="C76">
        <v>3</v>
      </c>
      <c r="D76">
        <v>20200</v>
      </c>
      <c r="E76">
        <v>6733</v>
      </c>
      <c r="F76">
        <v>4.0019999999999998</v>
      </c>
      <c r="G76">
        <v>14482</v>
      </c>
      <c r="H76">
        <v>6.15</v>
      </c>
      <c r="I76">
        <v>5.67</v>
      </c>
      <c r="J76">
        <v>1</v>
      </c>
      <c r="K76">
        <v>0.67</v>
      </c>
      <c r="L76">
        <v>744</v>
      </c>
      <c r="M76">
        <v>1</v>
      </c>
      <c r="N76">
        <v>33</v>
      </c>
      <c r="O76" s="2" t="str" cm="1">
        <f t="array" ref="O7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76" s="2" t="str" cm="1">
        <f t="array" ref="P76">_xlfn.IFS(Computed_insight___Success_of_active_sellers__2[[#This Row],[rating]]&gt;=4.5, "Excellent ", Computed_insight___Success_of_active_sellers__2[[#This Row],[rating]]&gt;=4, "Good ", Computed_insight___Success_of_active_sellers__2[[#This Row],[rating]]&gt;=3.5, "Average", TRUE, "Poor ")</f>
        <v xml:space="preserve">Good </v>
      </c>
      <c r="Q76" s="2" t="str" cm="1">
        <f t="array" ref="Q76">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76" s="2" t="str">
        <f>IF(Computed_insight___Success_of_active_sellers__2[[#This Row],[totalurgencycount]]&gt;0, "Has Banner", "No Banner")</f>
        <v>Has Banner</v>
      </c>
    </row>
    <row r="77" spans="1:18" x14ac:dyDescent="0.3">
      <c r="A77">
        <v>75</v>
      </c>
      <c r="B77" t="s">
        <v>322</v>
      </c>
      <c r="C77">
        <v>3</v>
      </c>
      <c r="D77">
        <v>20200</v>
      </c>
      <c r="E77">
        <v>6733</v>
      </c>
      <c r="F77">
        <v>4.1550000000000002</v>
      </c>
      <c r="G77">
        <v>16803</v>
      </c>
      <c r="H77">
        <v>10.33</v>
      </c>
      <c r="I77">
        <v>9</v>
      </c>
      <c r="J77">
        <v>-15</v>
      </c>
      <c r="K77">
        <v>-14.67</v>
      </c>
      <c r="L77">
        <v>1056</v>
      </c>
      <c r="O77" s="2" t="str" cm="1">
        <f t="array" ref="O7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77" s="2" t="str" cm="1">
        <f t="array" ref="P77">_xlfn.IFS(Computed_insight___Success_of_active_sellers__2[[#This Row],[rating]]&gt;=4.5, "Excellent ", Computed_insight___Success_of_active_sellers__2[[#This Row],[rating]]&gt;=4, "Good ", Computed_insight___Success_of_active_sellers__2[[#This Row],[rating]]&gt;=3.5, "Average", TRUE, "Poor ")</f>
        <v xml:space="preserve">Good </v>
      </c>
      <c r="Q77" s="2" t="str" cm="1">
        <f t="array" ref="Q7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7" s="2" t="str">
        <f>IF(Computed_insight___Success_of_active_sellers__2[[#This Row],[totalurgencycount]]&gt;0, "Has Banner", "No Banner")</f>
        <v>No Banner</v>
      </c>
    </row>
    <row r="78" spans="1:18" x14ac:dyDescent="0.3">
      <c r="A78">
        <v>76</v>
      </c>
      <c r="B78" t="s">
        <v>284</v>
      </c>
      <c r="C78">
        <v>5</v>
      </c>
      <c r="D78">
        <v>20200</v>
      </c>
      <c r="E78">
        <v>4040</v>
      </c>
      <c r="F78">
        <v>4.2039999999999997</v>
      </c>
      <c r="G78">
        <v>246312</v>
      </c>
      <c r="H78">
        <v>9.1999999999999993</v>
      </c>
      <c r="I78">
        <v>9</v>
      </c>
      <c r="J78">
        <v>-3</v>
      </c>
      <c r="K78">
        <v>-2.8</v>
      </c>
      <c r="L78">
        <v>847</v>
      </c>
      <c r="M78">
        <v>2</v>
      </c>
      <c r="N78">
        <v>40</v>
      </c>
      <c r="O78" s="2" t="str" cm="1">
        <f t="array" ref="O7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78" s="2" t="str" cm="1">
        <f t="array" ref="P78">_xlfn.IFS(Computed_insight___Success_of_active_sellers__2[[#This Row],[rating]]&gt;=4.5, "Excellent ", Computed_insight___Success_of_active_sellers__2[[#This Row],[rating]]&gt;=4, "Good ", Computed_insight___Success_of_active_sellers__2[[#This Row],[rating]]&gt;=3.5, "Average", TRUE, "Poor ")</f>
        <v xml:space="preserve">Good </v>
      </c>
      <c r="Q78" s="2" t="str" cm="1">
        <f t="array" ref="Q7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8" s="2" t="str">
        <f>IF(Computed_insight___Success_of_active_sellers__2[[#This Row],[totalurgencycount]]&gt;0, "Has Banner", "No Banner")</f>
        <v>Has Banner</v>
      </c>
    </row>
    <row r="79" spans="1:18" x14ac:dyDescent="0.3">
      <c r="A79">
        <v>77</v>
      </c>
      <c r="B79" t="s">
        <v>137</v>
      </c>
      <c r="C79">
        <v>3</v>
      </c>
      <c r="D79">
        <v>20100</v>
      </c>
      <c r="E79">
        <v>6700</v>
      </c>
      <c r="F79">
        <v>3.8740000000000001</v>
      </c>
      <c r="G79">
        <v>9177</v>
      </c>
      <c r="H79">
        <v>7.67</v>
      </c>
      <c r="I79">
        <v>18</v>
      </c>
      <c r="J79">
        <v>58</v>
      </c>
      <c r="K79">
        <v>57.67</v>
      </c>
      <c r="L79">
        <v>1018</v>
      </c>
      <c r="M79">
        <v>1</v>
      </c>
      <c r="N79">
        <v>33</v>
      </c>
      <c r="O79" s="2" t="str" cm="1">
        <f t="array" ref="O7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79" s="2" t="str" cm="1">
        <f t="array" ref="P79">_xlfn.IFS(Computed_insight___Success_of_active_sellers__2[[#This Row],[rating]]&gt;=4.5, "Excellent ", Computed_insight___Success_of_active_sellers__2[[#This Row],[rating]]&gt;=4, "Good ", Computed_insight___Success_of_active_sellers__2[[#This Row],[rating]]&gt;=3.5, "Average", TRUE, "Poor ")</f>
        <v>Average</v>
      </c>
      <c r="Q79" s="2" t="str" cm="1">
        <f t="array" ref="Q7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9" s="2" t="str">
        <f>IF(Computed_insight___Success_of_active_sellers__2[[#This Row],[totalurgencycount]]&gt;0, "Has Banner", "No Banner")</f>
        <v>Has Banner</v>
      </c>
    </row>
    <row r="80" spans="1:18" x14ac:dyDescent="0.3">
      <c r="A80">
        <v>78</v>
      </c>
      <c r="B80" t="s">
        <v>266</v>
      </c>
      <c r="C80">
        <v>3</v>
      </c>
      <c r="D80">
        <v>20100</v>
      </c>
      <c r="E80">
        <v>6700</v>
      </c>
      <c r="F80">
        <v>4.2249999999999996</v>
      </c>
      <c r="G80">
        <v>5316</v>
      </c>
      <c r="H80">
        <v>6.33</v>
      </c>
      <c r="I80">
        <v>40.67</v>
      </c>
      <c r="J80">
        <v>42</v>
      </c>
      <c r="K80">
        <v>42.33</v>
      </c>
      <c r="L80">
        <v>976</v>
      </c>
      <c r="O80" s="2" t="str" cm="1">
        <f t="array" ref="O8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80" s="2" t="str" cm="1">
        <f t="array" ref="P80">_xlfn.IFS(Computed_insight___Success_of_active_sellers__2[[#This Row],[rating]]&gt;=4.5, "Excellent ", Computed_insight___Success_of_active_sellers__2[[#This Row],[rating]]&gt;=4, "Good ", Computed_insight___Success_of_active_sellers__2[[#This Row],[rating]]&gt;=3.5, "Average", TRUE, "Poor ")</f>
        <v xml:space="preserve">Good </v>
      </c>
      <c r="Q80" s="2" t="str" cm="1">
        <f t="array" ref="Q80">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80" s="2" t="str">
        <f>IF(Computed_insight___Success_of_active_sellers__2[[#This Row],[totalurgencycount]]&gt;0, "Has Banner", "No Banner")</f>
        <v>No Banner</v>
      </c>
    </row>
    <row r="81" spans="1:18" x14ac:dyDescent="0.3">
      <c r="A81">
        <v>79</v>
      </c>
      <c r="B81" t="s">
        <v>406</v>
      </c>
      <c r="C81">
        <v>2</v>
      </c>
      <c r="D81">
        <v>20100</v>
      </c>
      <c r="E81">
        <v>10050</v>
      </c>
      <c r="F81">
        <v>3.919</v>
      </c>
      <c r="G81">
        <v>3791</v>
      </c>
      <c r="H81">
        <v>3.38</v>
      </c>
      <c r="I81">
        <v>3.5</v>
      </c>
      <c r="J81">
        <v>4</v>
      </c>
      <c r="K81">
        <v>4</v>
      </c>
      <c r="L81">
        <v>876</v>
      </c>
      <c r="M81">
        <v>1</v>
      </c>
      <c r="N81">
        <v>50</v>
      </c>
      <c r="O81" s="2" t="str" cm="1">
        <f t="array" ref="O8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81" s="2" t="str" cm="1">
        <f t="array" ref="P81">_xlfn.IFS(Computed_insight___Success_of_active_sellers__2[[#This Row],[rating]]&gt;=4.5, "Excellent ", Computed_insight___Success_of_active_sellers__2[[#This Row],[rating]]&gt;=4, "Good ", Computed_insight___Success_of_active_sellers__2[[#This Row],[rating]]&gt;=3.5, "Average", TRUE, "Poor ")</f>
        <v>Average</v>
      </c>
      <c r="Q81" s="2" t="str" cm="1">
        <f t="array" ref="Q81">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81" s="2" t="str">
        <f>IF(Computed_insight___Success_of_active_sellers__2[[#This Row],[totalurgencycount]]&gt;0, "Has Banner", "No Banner")</f>
        <v>Has Banner</v>
      </c>
    </row>
    <row r="82" spans="1:18" x14ac:dyDescent="0.3">
      <c r="A82">
        <v>80</v>
      </c>
      <c r="B82" t="s">
        <v>29</v>
      </c>
      <c r="C82">
        <v>2</v>
      </c>
      <c r="D82">
        <v>20100</v>
      </c>
      <c r="E82">
        <v>10050</v>
      </c>
      <c r="F82">
        <v>4.0170000000000003</v>
      </c>
      <c r="G82">
        <v>40943</v>
      </c>
      <c r="H82">
        <v>5.75</v>
      </c>
      <c r="I82">
        <v>30.5</v>
      </c>
      <c r="J82">
        <v>39</v>
      </c>
      <c r="K82">
        <v>38.5</v>
      </c>
      <c r="L82">
        <v>1516</v>
      </c>
      <c r="M82">
        <v>1</v>
      </c>
      <c r="N82">
        <v>50</v>
      </c>
      <c r="O82" s="2" t="str" cm="1">
        <f t="array" ref="O8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82" s="2" t="str" cm="1">
        <f t="array" ref="P82">_xlfn.IFS(Computed_insight___Success_of_active_sellers__2[[#This Row],[rating]]&gt;=4.5, "Excellent ", Computed_insight___Success_of_active_sellers__2[[#This Row],[rating]]&gt;=4, "Good ", Computed_insight___Success_of_active_sellers__2[[#This Row],[rating]]&gt;=3.5, "Average", TRUE, "Poor ")</f>
        <v xml:space="preserve">Good </v>
      </c>
      <c r="Q82" s="2" t="str" cm="1">
        <f t="array" ref="Q82">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82" s="2" t="str">
        <f>IF(Computed_insight___Success_of_active_sellers__2[[#This Row],[totalurgencycount]]&gt;0, "Has Banner", "No Banner")</f>
        <v>Has Banner</v>
      </c>
    </row>
    <row r="83" spans="1:18" x14ac:dyDescent="0.3">
      <c r="A83">
        <v>81</v>
      </c>
      <c r="B83" t="s">
        <v>771</v>
      </c>
      <c r="C83">
        <v>2</v>
      </c>
      <c r="D83">
        <v>20100</v>
      </c>
      <c r="E83">
        <v>10050</v>
      </c>
      <c r="F83">
        <v>4.1529999999999996</v>
      </c>
      <c r="G83">
        <v>8776</v>
      </c>
      <c r="H83">
        <v>7.5</v>
      </c>
      <c r="I83">
        <v>7</v>
      </c>
      <c r="J83">
        <v>-6</v>
      </c>
      <c r="K83">
        <v>-6</v>
      </c>
      <c r="L83">
        <v>2696</v>
      </c>
      <c r="M83">
        <v>1</v>
      </c>
      <c r="N83">
        <v>50</v>
      </c>
      <c r="O83" s="2" t="str" cm="1">
        <f t="array" ref="O8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83" s="2" t="str" cm="1">
        <f t="array" ref="P83">_xlfn.IFS(Computed_insight___Success_of_active_sellers__2[[#This Row],[rating]]&gt;=4.5, "Excellent ", Computed_insight___Success_of_active_sellers__2[[#This Row],[rating]]&gt;=4, "Good ", Computed_insight___Success_of_active_sellers__2[[#This Row],[rating]]&gt;=3.5, "Average", TRUE, "Poor ")</f>
        <v xml:space="preserve">Good </v>
      </c>
      <c r="Q83" s="2" t="str" cm="1">
        <f t="array" ref="Q8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3" s="2" t="str">
        <f>IF(Computed_insight___Success_of_active_sellers__2[[#This Row],[totalurgencycount]]&gt;0, "Has Banner", "No Banner")</f>
        <v>Has Banner</v>
      </c>
    </row>
    <row r="84" spans="1:18" x14ac:dyDescent="0.3">
      <c r="A84">
        <v>82</v>
      </c>
      <c r="B84" t="s">
        <v>457</v>
      </c>
      <c r="C84">
        <v>3</v>
      </c>
      <c r="D84">
        <v>20020</v>
      </c>
      <c r="E84">
        <v>6673</v>
      </c>
      <c r="F84">
        <v>3.9249999999999998</v>
      </c>
      <c r="G84">
        <v>32394</v>
      </c>
      <c r="H84">
        <v>7.67</v>
      </c>
      <c r="I84">
        <v>25.33</v>
      </c>
      <c r="J84">
        <v>51</v>
      </c>
      <c r="K84">
        <v>51.33</v>
      </c>
      <c r="L84">
        <v>2872</v>
      </c>
      <c r="O84" s="2" t="str" cm="1">
        <f t="array" ref="O8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84" s="2" t="str" cm="1">
        <f t="array" ref="P84">_xlfn.IFS(Computed_insight___Success_of_active_sellers__2[[#This Row],[rating]]&gt;=4.5, "Excellent ", Computed_insight___Success_of_active_sellers__2[[#This Row],[rating]]&gt;=4, "Good ", Computed_insight___Success_of_active_sellers__2[[#This Row],[rating]]&gt;=3.5, "Average", TRUE, "Poor ")</f>
        <v>Average</v>
      </c>
      <c r="Q84" s="2" t="str" cm="1">
        <f t="array" ref="Q8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4" s="2" t="str">
        <f>IF(Computed_insight___Success_of_active_sellers__2[[#This Row],[totalurgencycount]]&gt;0, "Has Banner", "No Banner")</f>
        <v>No Banner</v>
      </c>
    </row>
    <row r="85" spans="1:18" x14ac:dyDescent="0.3">
      <c r="A85">
        <v>83</v>
      </c>
      <c r="B85" t="s">
        <v>291</v>
      </c>
      <c r="C85">
        <v>3</v>
      </c>
      <c r="D85">
        <v>20000</v>
      </c>
      <c r="E85">
        <v>6667</v>
      </c>
      <c r="F85">
        <v>3.7320000000000002</v>
      </c>
      <c r="G85">
        <v>3566</v>
      </c>
      <c r="H85">
        <v>6.6</v>
      </c>
      <c r="I85">
        <v>5.67</v>
      </c>
      <c r="J85">
        <v>-16</v>
      </c>
      <c r="K85">
        <v>-15.67</v>
      </c>
      <c r="L85">
        <v>1243</v>
      </c>
      <c r="O85" s="2" t="str" cm="1">
        <f t="array" ref="O8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85" s="2" t="str" cm="1">
        <f t="array" ref="P85">_xlfn.IFS(Computed_insight___Success_of_active_sellers__2[[#This Row],[rating]]&gt;=4.5, "Excellent ", Computed_insight___Success_of_active_sellers__2[[#This Row],[rating]]&gt;=4, "Good ", Computed_insight___Success_of_active_sellers__2[[#This Row],[rating]]&gt;=3.5, "Average", TRUE, "Poor ")</f>
        <v>Average</v>
      </c>
      <c r="Q85" s="2" t="str" cm="1">
        <f t="array" ref="Q8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5" s="2" t="str">
        <f>IF(Computed_insight___Success_of_active_sellers__2[[#This Row],[totalurgencycount]]&gt;0, "Has Banner", "No Banner")</f>
        <v>No Banner</v>
      </c>
    </row>
    <row r="86" spans="1:18" x14ac:dyDescent="0.3">
      <c r="A86">
        <v>84</v>
      </c>
      <c r="B86" t="s">
        <v>318</v>
      </c>
      <c r="C86">
        <v>3</v>
      </c>
      <c r="D86">
        <v>20000</v>
      </c>
      <c r="E86">
        <v>6667</v>
      </c>
      <c r="F86">
        <v>3.85</v>
      </c>
      <c r="G86">
        <v>4295</v>
      </c>
      <c r="H86">
        <v>6.59</v>
      </c>
      <c r="I86">
        <v>5.67</v>
      </c>
      <c r="J86">
        <v>-16</v>
      </c>
      <c r="K86">
        <v>-16</v>
      </c>
      <c r="L86">
        <v>549</v>
      </c>
      <c r="M86">
        <v>1</v>
      </c>
      <c r="N86">
        <v>33</v>
      </c>
      <c r="O86" s="2" t="str" cm="1">
        <f t="array" ref="O8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86" s="2" t="str" cm="1">
        <f t="array" ref="P86">_xlfn.IFS(Computed_insight___Success_of_active_sellers__2[[#This Row],[rating]]&gt;=4.5, "Excellent ", Computed_insight___Success_of_active_sellers__2[[#This Row],[rating]]&gt;=4, "Good ", Computed_insight___Success_of_active_sellers__2[[#This Row],[rating]]&gt;=3.5, "Average", TRUE, "Poor ")</f>
        <v>Average</v>
      </c>
      <c r="Q86" s="2" t="str" cm="1">
        <f t="array" ref="Q8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6" s="2" t="str">
        <f>IF(Computed_insight___Success_of_active_sellers__2[[#This Row],[totalurgencycount]]&gt;0, "Has Banner", "No Banner")</f>
        <v>Has Banner</v>
      </c>
    </row>
    <row r="87" spans="1:18" x14ac:dyDescent="0.3">
      <c r="A87">
        <v>85</v>
      </c>
      <c r="B87" t="s">
        <v>62</v>
      </c>
      <c r="C87">
        <v>3</v>
      </c>
      <c r="D87">
        <v>20000</v>
      </c>
      <c r="E87">
        <v>6667</v>
      </c>
      <c r="F87">
        <v>4.2679999999999998</v>
      </c>
      <c r="G87">
        <v>61895</v>
      </c>
      <c r="H87">
        <v>10</v>
      </c>
      <c r="I87">
        <v>9</v>
      </c>
      <c r="J87">
        <v>-11</v>
      </c>
      <c r="K87">
        <v>-11.33</v>
      </c>
      <c r="L87">
        <v>1325</v>
      </c>
      <c r="M87">
        <v>1</v>
      </c>
      <c r="N87">
        <v>33</v>
      </c>
      <c r="O87" s="2" t="str" cm="1">
        <f t="array" ref="O8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87" s="2" t="str" cm="1">
        <f t="array" ref="P87">_xlfn.IFS(Computed_insight___Success_of_active_sellers__2[[#This Row],[rating]]&gt;=4.5, "Excellent ", Computed_insight___Success_of_active_sellers__2[[#This Row],[rating]]&gt;=4, "Good ", Computed_insight___Success_of_active_sellers__2[[#This Row],[rating]]&gt;=3.5, "Average", TRUE, "Poor ")</f>
        <v xml:space="preserve">Good </v>
      </c>
      <c r="Q87" s="2" t="str" cm="1">
        <f t="array" ref="Q8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7" s="2" t="str">
        <f>IF(Computed_insight___Success_of_active_sellers__2[[#This Row],[totalurgencycount]]&gt;0, "Has Banner", "No Banner")</f>
        <v>Has Banner</v>
      </c>
    </row>
    <row r="88" spans="1:18" x14ac:dyDescent="0.3">
      <c r="A88">
        <v>86</v>
      </c>
      <c r="B88" t="s">
        <v>75</v>
      </c>
      <c r="C88">
        <v>3</v>
      </c>
      <c r="D88">
        <v>20000</v>
      </c>
      <c r="E88">
        <v>6667</v>
      </c>
      <c r="F88">
        <v>4.29</v>
      </c>
      <c r="G88">
        <v>9200</v>
      </c>
      <c r="H88">
        <v>9</v>
      </c>
      <c r="I88">
        <v>8</v>
      </c>
      <c r="J88">
        <v>-13</v>
      </c>
      <c r="K88">
        <v>-12.67</v>
      </c>
      <c r="L88">
        <v>902</v>
      </c>
      <c r="M88">
        <v>1</v>
      </c>
      <c r="N88">
        <v>33</v>
      </c>
      <c r="O88" s="2" t="str" cm="1">
        <f t="array" ref="O8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88" s="2" t="str" cm="1">
        <f t="array" ref="P88">_xlfn.IFS(Computed_insight___Success_of_active_sellers__2[[#This Row],[rating]]&gt;=4.5, "Excellent ", Computed_insight___Success_of_active_sellers__2[[#This Row],[rating]]&gt;=4, "Good ", Computed_insight___Success_of_active_sellers__2[[#This Row],[rating]]&gt;=3.5, "Average", TRUE, "Poor ")</f>
        <v xml:space="preserve">Good </v>
      </c>
      <c r="Q88" s="2" t="str" cm="1">
        <f t="array" ref="Q8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8" s="2" t="str">
        <f>IF(Computed_insight___Success_of_active_sellers__2[[#This Row],[totalurgencycount]]&gt;0, "Has Banner", "No Banner")</f>
        <v>Has Banner</v>
      </c>
    </row>
    <row r="89" spans="1:18" x14ac:dyDescent="0.3">
      <c r="A89">
        <v>87</v>
      </c>
      <c r="B89" t="s">
        <v>396</v>
      </c>
      <c r="C89">
        <v>3</v>
      </c>
      <c r="D89">
        <v>20000</v>
      </c>
      <c r="E89">
        <v>6667</v>
      </c>
      <c r="F89">
        <v>4.2939999999999996</v>
      </c>
      <c r="G89">
        <v>213709</v>
      </c>
      <c r="H89">
        <v>5.91</v>
      </c>
      <c r="I89">
        <v>27</v>
      </c>
      <c r="J89">
        <v>77</v>
      </c>
      <c r="K89">
        <v>77.33</v>
      </c>
      <c r="L89">
        <v>1300</v>
      </c>
      <c r="M89">
        <v>2</v>
      </c>
      <c r="N89">
        <v>67</v>
      </c>
      <c r="O89" s="2" t="str" cm="1">
        <f t="array" ref="O8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89" s="2" t="str" cm="1">
        <f t="array" ref="P89">_xlfn.IFS(Computed_insight___Success_of_active_sellers__2[[#This Row],[rating]]&gt;=4.5, "Excellent ", Computed_insight___Success_of_active_sellers__2[[#This Row],[rating]]&gt;=4, "Good ", Computed_insight___Success_of_active_sellers__2[[#This Row],[rating]]&gt;=3.5, "Average", TRUE, "Poor ")</f>
        <v xml:space="preserve">Good </v>
      </c>
      <c r="Q89" s="2" t="str" cm="1">
        <f t="array" ref="Q8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9" s="2" t="str">
        <f>IF(Computed_insight___Success_of_active_sellers__2[[#This Row],[totalurgencycount]]&gt;0, "Has Banner", "No Banner")</f>
        <v>Has Banner</v>
      </c>
    </row>
    <row r="90" spans="1:18" x14ac:dyDescent="0.3">
      <c r="A90">
        <v>88</v>
      </c>
      <c r="B90" t="s">
        <v>559</v>
      </c>
      <c r="C90">
        <v>1</v>
      </c>
      <c r="D90">
        <v>20000</v>
      </c>
      <c r="E90">
        <v>20000</v>
      </c>
      <c r="F90">
        <v>3.915</v>
      </c>
      <c r="G90">
        <v>14553</v>
      </c>
      <c r="H90">
        <v>14</v>
      </c>
      <c r="I90">
        <v>12</v>
      </c>
      <c r="J90">
        <v>-16</v>
      </c>
      <c r="K90">
        <v>-16</v>
      </c>
      <c r="L90">
        <v>5891</v>
      </c>
      <c r="O90" s="2" t="str" cm="1">
        <f t="array" ref="O9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90" s="2" t="str" cm="1">
        <f t="array" ref="P90">_xlfn.IFS(Computed_insight___Success_of_active_sellers__2[[#This Row],[rating]]&gt;=4.5, "Excellent ", Computed_insight___Success_of_active_sellers__2[[#This Row],[rating]]&gt;=4, "Good ", Computed_insight___Success_of_active_sellers__2[[#This Row],[rating]]&gt;=3.5, "Average", TRUE, "Poor ")</f>
        <v>Average</v>
      </c>
      <c r="Q90" s="2" t="str" cm="1">
        <f t="array" ref="Q9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0" s="2" t="str">
        <f>IF(Computed_insight___Success_of_active_sellers__2[[#This Row],[totalurgencycount]]&gt;0, "Has Banner", "No Banner")</f>
        <v>No Banner</v>
      </c>
    </row>
    <row r="91" spans="1:18" x14ac:dyDescent="0.3">
      <c r="A91">
        <v>89</v>
      </c>
      <c r="B91" t="s">
        <v>759</v>
      </c>
      <c r="C91">
        <v>1</v>
      </c>
      <c r="D91">
        <v>20000</v>
      </c>
      <c r="E91">
        <v>20000</v>
      </c>
      <c r="F91">
        <v>3.9620000000000002</v>
      </c>
      <c r="G91">
        <v>21210</v>
      </c>
      <c r="H91">
        <v>5.8</v>
      </c>
      <c r="I91">
        <v>43</v>
      </c>
      <c r="J91">
        <v>87</v>
      </c>
      <c r="K91">
        <v>87</v>
      </c>
      <c r="L91">
        <v>2407</v>
      </c>
      <c r="O91" s="2" t="str" cm="1">
        <f t="array" ref="O9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91" s="2" t="str" cm="1">
        <f t="array" ref="P91">_xlfn.IFS(Computed_insight___Success_of_active_sellers__2[[#This Row],[rating]]&gt;=4.5, "Excellent ", Computed_insight___Success_of_active_sellers__2[[#This Row],[rating]]&gt;=4, "Good ", Computed_insight___Success_of_active_sellers__2[[#This Row],[rating]]&gt;=3.5, "Average", TRUE, "Poor ")</f>
        <v>Average</v>
      </c>
      <c r="Q91" s="2" t="str" cm="1">
        <f t="array" ref="Q9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1" s="2" t="str">
        <f>IF(Computed_insight___Success_of_active_sellers__2[[#This Row],[totalurgencycount]]&gt;0, "Has Banner", "No Banner")</f>
        <v>No Banner</v>
      </c>
    </row>
    <row r="92" spans="1:18" x14ac:dyDescent="0.3">
      <c r="A92">
        <v>90</v>
      </c>
      <c r="B92" t="s">
        <v>557</v>
      </c>
      <c r="C92">
        <v>1</v>
      </c>
      <c r="D92">
        <v>20000</v>
      </c>
      <c r="E92">
        <v>20000</v>
      </c>
      <c r="F92">
        <v>3.9620000000000002</v>
      </c>
      <c r="G92">
        <v>33839</v>
      </c>
      <c r="H92">
        <v>11</v>
      </c>
      <c r="I92">
        <v>20</v>
      </c>
      <c r="J92">
        <v>45</v>
      </c>
      <c r="K92">
        <v>45</v>
      </c>
      <c r="L92">
        <v>3929</v>
      </c>
      <c r="O92" s="2" t="str" cm="1">
        <f t="array" ref="O9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92" s="2" t="str" cm="1">
        <f t="array" ref="P92">_xlfn.IFS(Computed_insight___Success_of_active_sellers__2[[#This Row],[rating]]&gt;=4.5, "Excellent ", Computed_insight___Success_of_active_sellers__2[[#This Row],[rating]]&gt;=4, "Good ", Computed_insight___Success_of_active_sellers__2[[#This Row],[rating]]&gt;=3.5, "Average", TRUE, "Poor ")</f>
        <v>Average</v>
      </c>
      <c r="Q92" s="2" t="str" cm="1">
        <f t="array" ref="Q92">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92" s="2" t="str">
        <f>IF(Computed_insight___Success_of_active_sellers__2[[#This Row],[totalurgencycount]]&gt;0, "Has Banner", "No Banner")</f>
        <v>No Banner</v>
      </c>
    </row>
    <row r="93" spans="1:18" x14ac:dyDescent="0.3">
      <c r="A93">
        <v>91</v>
      </c>
      <c r="B93" t="s">
        <v>602</v>
      </c>
      <c r="C93">
        <v>1</v>
      </c>
      <c r="D93">
        <v>20000</v>
      </c>
      <c r="E93">
        <v>20000</v>
      </c>
      <c r="F93">
        <v>3.9990000000000001</v>
      </c>
      <c r="G93">
        <v>12476</v>
      </c>
      <c r="H93">
        <v>8</v>
      </c>
      <c r="I93">
        <v>7</v>
      </c>
      <c r="J93">
        <v>-14</v>
      </c>
      <c r="K93">
        <v>-14</v>
      </c>
      <c r="L93">
        <v>3761</v>
      </c>
      <c r="O93" s="2" t="str" cm="1">
        <f t="array" ref="O9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93" s="2" t="str" cm="1">
        <f t="array" ref="P93">_xlfn.IFS(Computed_insight___Success_of_active_sellers__2[[#This Row],[rating]]&gt;=4.5, "Excellent ", Computed_insight___Success_of_active_sellers__2[[#This Row],[rating]]&gt;=4, "Good ", Computed_insight___Success_of_active_sellers__2[[#This Row],[rating]]&gt;=3.5, "Average", TRUE, "Poor ")</f>
        <v>Average</v>
      </c>
      <c r="Q93" s="2" t="str" cm="1">
        <f t="array" ref="Q9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3" s="2" t="str">
        <f>IF(Computed_insight___Success_of_active_sellers__2[[#This Row],[totalurgencycount]]&gt;0, "Has Banner", "No Banner")</f>
        <v>No Banner</v>
      </c>
    </row>
    <row r="94" spans="1:18" x14ac:dyDescent="0.3">
      <c r="A94">
        <v>92</v>
      </c>
      <c r="B94" t="s">
        <v>565</v>
      </c>
      <c r="C94">
        <v>1</v>
      </c>
      <c r="D94">
        <v>20000</v>
      </c>
      <c r="E94">
        <v>20000</v>
      </c>
      <c r="F94">
        <v>4.0030000000000001</v>
      </c>
      <c r="G94">
        <v>4336</v>
      </c>
      <c r="H94">
        <v>11</v>
      </c>
      <c r="I94">
        <v>19</v>
      </c>
      <c r="J94">
        <v>43</v>
      </c>
      <c r="K94">
        <v>43</v>
      </c>
      <c r="L94">
        <v>2729</v>
      </c>
      <c r="O94" s="2" t="str" cm="1">
        <f t="array" ref="O9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94" s="2" t="str" cm="1">
        <f t="array" ref="P94">_xlfn.IFS(Computed_insight___Success_of_active_sellers__2[[#This Row],[rating]]&gt;=4.5, "Excellent ", Computed_insight___Success_of_active_sellers__2[[#This Row],[rating]]&gt;=4, "Good ", Computed_insight___Success_of_active_sellers__2[[#This Row],[rating]]&gt;=3.5, "Average", TRUE, "Poor ")</f>
        <v xml:space="preserve">Good </v>
      </c>
      <c r="Q94" s="2" t="str" cm="1">
        <f t="array" ref="Q94">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94" s="2" t="str">
        <f>IF(Computed_insight___Success_of_active_sellers__2[[#This Row],[totalurgencycount]]&gt;0, "Has Banner", "No Banner")</f>
        <v>No Banner</v>
      </c>
    </row>
    <row r="95" spans="1:18" x14ac:dyDescent="0.3">
      <c r="A95">
        <v>93</v>
      </c>
      <c r="B95" t="s">
        <v>241</v>
      </c>
      <c r="C95">
        <v>1</v>
      </c>
      <c r="D95">
        <v>20000</v>
      </c>
      <c r="E95">
        <v>20000</v>
      </c>
      <c r="F95">
        <v>4.0069999999999997</v>
      </c>
      <c r="G95">
        <v>15106</v>
      </c>
      <c r="H95">
        <v>9</v>
      </c>
      <c r="I95">
        <v>50</v>
      </c>
      <c r="J95">
        <v>82</v>
      </c>
      <c r="K95">
        <v>82</v>
      </c>
      <c r="L95">
        <v>2440</v>
      </c>
      <c r="O95" s="2" t="str" cm="1">
        <f t="array" ref="O9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95" s="2" t="str" cm="1">
        <f t="array" ref="P95">_xlfn.IFS(Computed_insight___Success_of_active_sellers__2[[#This Row],[rating]]&gt;=4.5, "Excellent ", Computed_insight___Success_of_active_sellers__2[[#This Row],[rating]]&gt;=4, "Good ", Computed_insight___Success_of_active_sellers__2[[#This Row],[rating]]&gt;=3.5, "Average", TRUE, "Poor ")</f>
        <v xml:space="preserve">Good </v>
      </c>
      <c r="Q95" s="2" t="str" cm="1">
        <f t="array" ref="Q9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5" s="2" t="str">
        <f>IF(Computed_insight___Success_of_active_sellers__2[[#This Row],[totalurgencycount]]&gt;0, "Has Banner", "No Banner")</f>
        <v>No Banner</v>
      </c>
    </row>
    <row r="96" spans="1:18" x14ac:dyDescent="0.3">
      <c r="A96">
        <v>94</v>
      </c>
      <c r="B96" t="s">
        <v>458</v>
      </c>
      <c r="C96">
        <v>1</v>
      </c>
      <c r="D96">
        <v>20000</v>
      </c>
      <c r="E96">
        <v>20000</v>
      </c>
      <c r="F96">
        <v>4.0170000000000003</v>
      </c>
      <c r="G96">
        <v>11965</v>
      </c>
      <c r="H96">
        <v>11</v>
      </c>
      <c r="I96">
        <v>84</v>
      </c>
      <c r="J96">
        <v>87</v>
      </c>
      <c r="K96">
        <v>87</v>
      </c>
      <c r="L96">
        <v>3572</v>
      </c>
      <c r="M96">
        <v>1</v>
      </c>
      <c r="N96">
        <v>100</v>
      </c>
      <c r="O96" s="2" t="str" cm="1">
        <f t="array" ref="O9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96" s="2" t="str" cm="1">
        <f t="array" ref="P96">_xlfn.IFS(Computed_insight___Success_of_active_sellers__2[[#This Row],[rating]]&gt;=4.5, "Excellent ", Computed_insight___Success_of_active_sellers__2[[#This Row],[rating]]&gt;=4, "Good ", Computed_insight___Success_of_active_sellers__2[[#This Row],[rating]]&gt;=3.5, "Average", TRUE, "Poor ")</f>
        <v xml:space="preserve">Good </v>
      </c>
      <c r="Q96" s="2" t="str" cm="1">
        <f t="array" ref="Q9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6" s="2" t="str">
        <f>IF(Computed_insight___Success_of_active_sellers__2[[#This Row],[totalurgencycount]]&gt;0, "Has Banner", "No Banner")</f>
        <v>Has Banner</v>
      </c>
    </row>
    <row r="97" spans="1:18" x14ac:dyDescent="0.3">
      <c r="A97">
        <v>95</v>
      </c>
      <c r="B97" t="s">
        <v>368</v>
      </c>
      <c r="C97">
        <v>1</v>
      </c>
      <c r="D97">
        <v>20000</v>
      </c>
      <c r="E97">
        <v>20000</v>
      </c>
      <c r="F97">
        <v>4.0469999999999997</v>
      </c>
      <c r="G97">
        <v>56999</v>
      </c>
      <c r="H97">
        <v>3.79</v>
      </c>
      <c r="I97">
        <v>49</v>
      </c>
      <c r="J97">
        <v>93</v>
      </c>
      <c r="K97">
        <v>93</v>
      </c>
      <c r="L97">
        <v>8412</v>
      </c>
      <c r="O97" s="2" t="str" cm="1">
        <f t="array" ref="O9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97" s="2" t="str" cm="1">
        <f t="array" ref="P97">_xlfn.IFS(Computed_insight___Success_of_active_sellers__2[[#This Row],[rating]]&gt;=4.5, "Excellent ", Computed_insight___Success_of_active_sellers__2[[#This Row],[rating]]&gt;=4, "Good ", Computed_insight___Success_of_active_sellers__2[[#This Row],[rating]]&gt;=3.5, "Average", TRUE, "Poor ")</f>
        <v xml:space="preserve">Good </v>
      </c>
      <c r="Q97" s="2" t="str" cm="1">
        <f t="array" ref="Q9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7" s="2" t="str">
        <f>IF(Computed_insight___Success_of_active_sellers__2[[#This Row],[totalurgencycount]]&gt;0, "Has Banner", "No Banner")</f>
        <v>No Banner</v>
      </c>
    </row>
    <row r="98" spans="1:18" x14ac:dyDescent="0.3">
      <c r="A98">
        <v>96</v>
      </c>
      <c r="B98" t="s">
        <v>627</v>
      </c>
      <c r="C98">
        <v>1</v>
      </c>
      <c r="D98">
        <v>20000</v>
      </c>
      <c r="E98">
        <v>20000</v>
      </c>
      <c r="F98">
        <v>4.0640000000000001</v>
      </c>
      <c r="G98">
        <v>43742</v>
      </c>
      <c r="H98">
        <v>7</v>
      </c>
      <c r="I98">
        <v>11</v>
      </c>
      <c r="J98">
        <v>37</v>
      </c>
      <c r="K98">
        <v>37</v>
      </c>
      <c r="L98">
        <v>6510</v>
      </c>
      <c r="O98" s="2" t="str" cm="1">
        <f t="array" ref="O9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98" s="2" t="str" cm="1">
        <f t="array" ref="P98">_xlfn.IFS(Computed_insight___Success_of_active_sellers__2[[#This Row],[rating]]&gt;=4.5, "Excellent ", Computed_insight___Success_of_active_sellers__2[[#This Row],[rating]]&gt;=4, "Good ", Computed_insight___Success_of_active_sellers__2[[#This Row],[rating]]&gt;=3.5, "Average", TRUE, "Poor ")</f>
        <v xml:space="preserve">Good </v>
      </c>
      <c r="Q98" s="2" t="str" cm="1">
        <f t="array" ref="Q98">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98" s="2" t="str">
        <f>IF(Computed_insight___Success_of_active_sellers__2[[#This Row],[totalurgencycount]]&gt;0, "Has Banner", "No Banner")</f>
        <v>No Banner</v>
      </c>
    </row>
    <row r="99" spans="1:18" x14ac:dyDescent="0.3">
      <c r="A99">
        <v>97</v>
      </c>
      <c r="B99" t="s">
        <v>89</v>
      </c>
      <c r="C99">
        <v>1</v>
      </c>
      <c r="D99">
        <v>20000</v>
      </c>
      <c r="E99">
        <v>20000</v>
      </c>
      <c r="F99">
        <v>4.0650000000000004</v>
      </c>
      <c r="G99">
        <v>15748</v>
      </c>
      <c r="H99">
        <v>9</v>
      </c>
      <c r="I99">
        <v>8</v>
      </c>
      <c r="J99">
        <v>-12</v>
      </c>
      <c r="K99">
        <v>-12</v>
      </c>
      <c r="L99">
        <v>3820</v>
      </c>
      <c r="O99" s="2" t="str" cm="1">
        <f t="array" ref="O9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99" s="2" t="str" cm="1">
        <f t="array" ref="P99">_xlfn.IFS(Computed_insight___Success_of_active_sellers__2[[#This Row],[rating]]&gt;=4.5, "Excellent ", Computed_insight___Success_of_active_sellers__2[[#This Row],[rating]]&gt;=4, "Good ", Computed_insight___Success_of_active_sellers__2[[#This Row],[rating]]&gt;=3.5, "Average", TRUE, "Poor ")</f>
        <v xml:space="preserve">Good </v>
      </c>
      <c r="Q99" s="2" t="str" cm="1">
        <f t="array" ref="Q9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9" s="2" t="str">
        <f>IF(Computed_insight___Success_of_active_sellers__2[[#This Row],[totalurgencycount]]&gt;0, "Has Banner", "No Banner")</f>
        <v>No Banner</v>
      </c>
    </row>
    <row r="100" spans="1:18" x14ac:dyDescent="0.3">
      <c r="A100">
        <v>98</v>
      </c>
      <c r="B100" t="s">
        <v>711</v>
      </c>
      <c r="C100">
        <v>1</v>
      </c>
      <c r="D100">
        <v>20000</v>
      </c>
      <c r="E100">
        <v>20000</v>
      </c>
      <c r="F100">
        <v>4.07</v>
      </c>
      <c r="G100">
        <v>3271</v>
      </c>
      <c r="H100">
        <v>7</v>
      </c>
      <c r="I100">
        <v>6</v>
      </c>
      <c r="J100">
        <v>-16</v>
      </c>
      <c r="K100">
        <v>-16</v>
      </c>
      <c r="L100">
        <v>2464</v>
      </c>
      <c r="O100" s="2" t="str" cm="1">
        <f t="array" ref="O10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00" s="2" t="str" cm="1">
        <f t="array" ref="P100">_xlfn.IFS(Computed_insight___Success_of_active_sellers__2[[#This Row],[rating]]&gt;=4.5, "Excellent ", Computed_insight___Success_of_active_sellers__2[[#This Row],[rating]]&gt;=4, "Good ", Computed_insight___Success_of_active_sellers__2[[#This Row],[rating]]&gt;=3.5, "Average", TRUE, "Poor ")</f>
        <v xml:space="preserve">Good </v>
      </c>
      <c r="Q100" s="2" t="str" cm="1">
        <f t="array" ref="Q10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00" s="2" t="str">
        <f>IF(Computed_insight___Success_of_active_sellers__2[[#This Row],[totalurgencycount]]&gt;0, "Has Banner", "No Banner")</f>
        <v>No Banner</v>
      </c>
    </row>
    <row r="101" spans="1:18" x14ac:dyDescent="0.3">
      <c r="A101">
        <v>99</v>
      </c>
      <c r="B101" t="s">
        <v>397</v>
      </c>
      <c r="C101">
        <v>1</v>
      </c>
      <c r="D101">
        <v>20000</v>
      </c>
      <c r="E101">
        <v>20000</v>
      </c>
      <c r="F101">
        <v>4.0730000000000004</v>
      </c>
      <c r="G101">
        <v>6714</v>
      </c>
      <c r="H101">
        <v>6</v>
      </c>
      <c r="I101">
        <v>6</v>
      </c>
      <c r="J101">
        <v>0</v>
      </c>
      <c r="K101">
        <v>0</v>
      </c>
      <c r="L101">
        <v>2706</v>
      </c>
      <c r="M101">
        <v>1</v>
      </c>
      <c r="N101">
        <v>100</v>
      </c>
      <c r="O101" s="2" t="str" cm="1">
        <f t="array" ref="O10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01" s="2" t="str" cm="1">
        <f t="array" ref="P101">_xlfn.IFS(Computed_insight___Success_of_active_sellers__2[[#This Row],[rating]]&gt;=4.5, "Excellent ", Computed_insight___Success_of_active_sellers__2[[#This Row],[rating]]&gt;=4, "Good ", Computed_insight___Success_of_active_sellers__2[[#This Row],[rating]]&gt;=3.5, "Average", TRUE, "Poor ")</f>
        <v xml:space="preserve">Good </v>
      </c>
      <c r="Q101" s="2" t="str" cm="1">
        <f t="array" ref="Q10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01" s="2" t="str">
        <f>IF(Computed_insight___Success_of_active_sellers__2[[#This Row],[totalurgencycount]]&gt;0, "Has Banner", "No Banner")</f>
        <v>Has Banner</v>
      </c>
    </row>
    <row r="102" spans="1:18" x14ac:dyDescent="0.3">
      <c r="A102">
        <v>100</v>
      </c>
      <c r="B102" t="s">
        <v>20</v>
      </c>
      <c r="C102">
        <v>1</v>
      </c>
      <c r="D102">
        <v>20000</v>
      </c>
      <c r="E102">
        <v>20000</v>
      </c>
      <c r="F102">
        <v>4.0819999999999999</v>
      </c>
      <c r="G102">
        <v>22089</v>
      </c>
      <c r="H102">
        <v>9</v>
      </c>
      <c r="I102">
        <v>9</v>
      </c>
      <c r="J102">
        <v>0</v>
      </c>
      <c r="K102">
        <v>0</v>
      </c>
      <c r="L102">
        <v>5479</v>
      </c>
      <c r="O102" s="2" t="str" cm="1">
        <f t="array" ref="O10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02" s="2" t="str" cm="1">
        <f t="array" ref="P102">_xlfn.IFS(Computed_insight___Success_of_active_sellers__2[[#This Row],[rating]]&gt;=4.5, "Excellent ", Computed_insight___Success_of_active_sellers__2[[#This Row],[rating]]&gt;=4, "Good ", Computed_insight___Success_of_active_sellers__2[[#This Row],[rating]]&gt;=3.5, "Average", TRUE, "Poor ")</f>
        <v xml:space="preserve">Good </v>
      </c>
      <c r="Q102" s="2" t="str" cm="1">
        <f t="array" ref="Q10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02" s="2" t="str">
        <f>IF(Computed_insight___Success_of_active_sellers__2[[#This Row],[totalurgencycount]]&gt;0, "Has Banner", "No Banner")</f>
        <v>No Banner</v>
      </c>
    </row>
    <row r="103" spans="1:18" x14ac:dyDescent="0.3">
      <c r="A103">
        <v>101</v>
      </c>
      <c r="B103" t="s">
        <v>447</v>
      </c>
      <c r="C103">
        <v>1</v>
      </c>
      <c r="D103">
        <v>20000</v>
      </c>
      <c r="E103">
        <v>20000</v>
      </c>
      <c r="F103">
        <v>4.0839999999999996</v>
      </c>
      <c r="G103">
        <v>15006</v>
      </c>
      <c r="H103">
        <v>8</v>
      </c>
      <c r="I103">
        <v>59</v>
      </c>
      <c r="J103">
        <v>87</v>
      </c>
      <c r="K103">
        <v>87</v>
      </c>
      <c r="L103">
        <v>5929</v>
      </c>
      <c r="O103" s="2" t="str" cm="1">
        <f t="array" ref="O10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03" s="2" t="str" cm="1">
        <f t="array" ref="P103">_xlfn.IFS(Computed_insight___Success_of_active_sellers__2[[#This Row],[rating]]&gt;=4.5, "Excellent ", Computed_insight___Success_of_active_sellers__2[[#This Row],[rating]]&gt;=4, "Good ", Computed_insight___Success_of_active_sellers__2[[#This Row],[rating]]&gt;=3.5, "Average", TRUE, "Poor ")</f>
        <v xml:space="preserve">Good </v>
      </c>
      <c r="Q103" s="2" t="str" cm="1">
        <f t="array" ref="Q10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03" s="2" t="str">
        <f>IF(Computed_insight___Success_of_active_sellers__2[[#This Row],[totalurgencycount]]&gt;0, "Has Banner", "No Banner")</f>
        <v>No Banner</v>
      </c>
    </row>
    <row r="104" spans="1:18" x14ac:dyDescent="0.3">
      <c r="A104">
        <v>102</v>
      </c>
      <c r="B104" t="s">
        <v>535</v>
      </c>
      <c r="C104">
        <v>1</v>
      </c>
      <c r="D104">
        <v>20000</v>
      </c>
      <c r="E104">
        <v>20000</v>
      </c>
      <c r="F104">
        <v>4.0970000000000004</v>
      </c>
      <c r="G104">
        <v>200089</v>
      </c>
      <c r="H104">
        <v>13</v>
      </c>
      <c r="I104">
        <v>30</v>
      </c>
      <c r="J104">
        <v>57</v>
      </c>
      <c r="K104">
        <v>57</v>
      </c>
      <c r="L104">
        <v>3421</v>
      </c>
      <c r="M104">
        <v>1</v>
      </c>
      <c r="N104">
        <v>100</v>
      </c>
      <c r="O104" s="2" t="str" cm="1">
        <f t="array" ref="O10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04" s="2" t="str" cm="1">
        <f t="array" ref="P104">_xlfn.IFS(Computed_insight___Success_of_active_sellers__2[[#This Row],[rating]]&gt;=4.5, "Excellent ", Computed_insight___Success_of_active_sellers__2[[#This Row],[rating]]&gt;=4, "Good ", Computed_insight___Success_of_active_sellers__2[[#This Row],[rating]]&gt;=3.5, "Average", TRUE, "Poor ")</f>
        <v xml:space="preserve">Good </v>
      </c>
      <c r="Q104" s="2" t="str" cm="1">
        <f t="array" ref="Q10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04" s="2" t="str">
        <f>IF(Computed_insight___Success_of_active_sellers__2[[#This Row],[totalurgencycount]]&gt;0, "Has Banner", "No Banner")</f>
        <v>Has Banner</v>
      </c>
    </row>
    <row r="105" spans="1:18" x14ac:dyDescent="0.3">
      <c r="A105">
        <v>103</v>
      </c>
      <c r="B105" t="s">
        <v>575</v>
      </c>
      <c r="C105">
        <v>1</v>
      </c>
      <c r="D105">
        <v>20000</v>
      </c>
      <c r="E105">
        <v>20000</v>
      </c>
      <c r="F105">
        <v>4.0970000000000004</v>
      </c>
      <c r="G105">
        <v>4107</v>
      </c>
      <c r="H105">
        <v>22</v>
      </c>
      <c r="I105">
        <v>19</v>
      </c>
      <c r="J105">
        <v>-15</v>
      </c>
      <c r="K105">
        <v>-15</v>
      </c>
      <c r="L105">
        <v>1103</v>
      </c>
      <c r="O105" s="2" t="str" cm="1">
        <f t="array" ref="O10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05" s="2" t="str" cm="1">
        <f t="array" ref="P105">_xlfn.IFS(Computed_insight___Success_of_active_sellers__2[[#This Row],[rating]]&gt;=4.5, "Excellent ", Computed_insight___Success_of_active_sellers__2[[#This Row],[rating]]&gt;=4, "Good ", Computed_insight___Success_of_active_sellers__2[[#This Row],[rating]]&gt;=3.5, "Average", TRUE, "Poor ")</f>
        <v xml:space="preserve">Good </v>
      </c>
      <c r="Q105" s="2" t="str" cm="1">
        <f t="array" ref="Q10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05" s="2" t="str">
        <f>IF(Computed_insight___Success_of_active_sellers__2[[#This Row],[totalurgencycount]]&gt;0, "Has Banner", "No Banner")</f>
        <v>No Banner</v>
      </c>
    </row>
    <row r="106" spans="1:18" x14ac:dyDescent="0.3">
      <c r="A106">
        <v>104</v>
      </c>
      <c r="B106" t="s">
        <v>812</v>
      </c>
      <c r="C106">
        <v>1</v>
      </c>
      <c r="D106">
        <v>20000</v>
      </c>
      <c r="E106">
        <v>20000</v>
      </c>
      <c r="F106">
        <v>4.0970000000000004</v>
      </c>
      <c r="G106">
        <v>45964</v>
      </c>
      <c r="H106">
        <v>13</v>
      </c>
      <c r="I106">
        <v>252</v>
      </c>
      <c r="J106">
        <v>95</v>
      </c>
      <c r="K106">
        <v>95</v>
      </c>
      <c r="L106">
        <v>12041</v>
      </c>
      <c r="O106" s="2" t="str" cm="1">
        <f t="array" ref="O10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06" s="2" t="str" cm="1">
        <f t="array" ref="P106">_xlfn.IFS(Computed_insight___Success_of_active_sellers__2[[#This Row],[rating]]&gt;=4.5, "Excellent ", Computed_insight___Success_of_active_sellers__2[[#This Row],[rating]]&gt;=4, "Good ", Computed_insight___Success_of_active_sellers__2[[#This Row],[rating]]&gt;=3.5, "Average", TRUE, "Poor ")</f>
        <v xml:space="preserve">Good </v>
      </c>
      <c r="Q106" s="2" t="str" cm="1">
        <f t="array" ref="Q10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06" s="2" t="str">
        <f>IF(Computed_insight___Success_of_active_sellers__2[[#This Row],[totalurgencycount]]&gt;0, "Has Banner", "No Banner")</f>
        <v>No Banner</v>
      </c>
    </row>
    <row r="107" spans="1:18" x14ac:dyDescent="0.3">
      <c r="A107">
        <v>105</v>
      </c>
      <c r="B107" t="s">
        <v>942</v>
      </c>
      <c r="C107">
        <v>1</v>
      </c>
      <c r="D107">
        <v>20000</v>
      </c>
      <c r="E107">
        <v>20000</v>
      </c>
      <c r="F107">
        <v>4.1120000000000001</v>
      </c>
      <c r="G107">
        <v>30892</v>
      </c>
      <c r="H107">
        <v>12</v>
      </c>
      <c r="I107">
        <v>11</v>
      </c>
      <c r="J107">
        <v>-9</v>
      </c>
      <c r="K107">
        <v>-9</v>
      </c>
      <c r="L107">
        <v>5351</v>
      </c>
      <c r="O107" s="2" t="str" cm="1">
        <f t="array" ref="O10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07" s="2" t="str" cm="1">
        <f t="array" ref="P107">_xlfn.IFS(Computed_insight___Success_of_active_sellers__2[[#This Row],[rating]]&gt;=4.5, "Excellent ", Computed_insight___Success_of_active_sellers__2[[#This Row],[rating]]&gt;=4, "Good ", Computed_insight___Success_of_active_sellers__2[[#This Row],[rating]]&gt;=3.5, "Average", TRUE, "Poor ")</f>
        <v xml:space="preserve">Good </v>
      </c>
      <c r="Q107" s="2" t="str" cm="1">
        <f t="array" ref="Q10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07" s="2" t="str">
        <f>IF(Computed_insight___Success_of_active_sellers__2[[#This Row],[totalurgencycount]]&gt;0, "Has Banner", "No Banner")</f>
        <v>No Banner</v>
      </c>
    </row>
    <row r="108" spans="1:18" x14ac:dyDescent="0.3">
      <c r="A108">
        <v>106</v>
      </c>
      <c r="B108" t="s">
        <v>497</v>
      </c>
      <c r="C108">
        <v>1</v>
      </c>
      <c r="D108">
        <v>20000</v>
      </c>
      <c r="E108">
        <v>20000</v>
      </c>
      <c r="F108">
        <v>4.1139999999999999</v>
      </c>
      <c r="G108">
        <v>11740</v>
      </c>
      <c r="H108">
        <v>6</v>
      </c>
      <c r="I108">
        <v>6</v>
      </c>
      <c r="J108">
        <v>0</v>
      </c>
      <c r="K108">
        <v>0</v>
      </c>
      <c r="L108">
        <v>6509</v>
      </c>
      <c r="O108" s="2" t="str" cm="1">
        <f t="array" ref="O10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08" s="2" t="str" cm="1">
        <f t="array" ref="P108">_xlfn.IFS(Computed_insight___Success_of_active_sellers__2[[#This Row],[rating]]&gt;=4.5, "Excellent ", Computed_insight___Success_of_active_sellers__2[[#This Row],[rating]]&gt;=4, "Good ", Computed_insight___Success_of_active_sellers__2[[#This Row],[rating]]&gt;=3.5, "Average", TRUE, "Poor ")</f>
        <v xml:space="preserve">Good </v>
      </c>
      <c r="Q108" s="2" t="str" cm="1">
        <f t="array" ref="Q10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08" s="2" t="str">
        <f>IF(Computed_insight___Success_of_active_sellers__2[[#This Row],[totalurgencycount]]&gt;0, "Has Banner", "No Banner")</f>
        <v>No Banner</v>
      </c>
    </row>
    <row r="109" spans="1:18" x14ac:dyDescent="0.3">
      <c r="A109">
        <v>107</v>
      </c>
      <c r="B109" t="s">
        <v>709</v>
      </c>
      <c r="C109">
        <v>1</v>
      </c>
      <c r="D109">
        <v>20000</v>
      </c>
      <c r="E109">
        <v>20000</v>
      </c>
      <c r="F109">
        <v>4.1189999999999998</v>
      </c>
      <c r="G109">
        <v>4646</v>
      </c>
      <c r="H109">
        <v>5.87</v>
      </c>
      <c r="I109">
        <v>5</v>
      </c>
      <c r="J109">
        <v>-17</v>
      </c>
      <c r="K109">
        <v>-17</v>
      </c>
      <c r="L109">
        <v>4137</v>
      </c>
      <c r="O109" s="2" t="str" cm="1">
        <f t="array" ref="O10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09" s="2" t="str" cm="1">
        <f t="array" ref="P109">_xlfn.IFS(Computed_insight___Success_of_active_sellers__2[[#This Row],[rating]]&gt;=4.5, "Excellent ", Computed_insight___Success_of_active_sellers__2[[#This Row],[rating]]&gt;=4, "Good ", Computed_insight___Success_of_active_sellers__2[[#This Row],[rating]]&gt;=3.5, "Average", TRUE, "Poor ")</f>
        <v xml:space="preserve">Good </v>
      </c>
      <c r="Q109" s="2" t="str" cm="1">
        <f t="array" ref="Q10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09" s="2" t="str">
        <f>IF(Computed_insight___Success_of_active_sellers__2[[#This Row],[totalurgencycount]]&gt;0, "Has Banner", "No Banner")</f>
        <v>No Banner</v>
      </c>
    </row>
    <row r="110" spans="1:18" x14ac:dyDescent="0.3">
      <c r="A110">
        <v>108</v>
      </c>
      <c r="B110" t="s">
        <v>586</v>
      </c>
      <c r="C110">
        <v>1</v>
      </c>
      <c r="D110">
        <v>20000</v>
      </c>
      <c r="E110">
        <v>20000</v>
      </c>
      <c r="F110">
        <v>4.13</v>
      </c>
      <c r="G110">
        <v>9492</v>
      </c>
      <c r="H110">
        <v>8</v>
      </c>
      <c r="I110">
        <v>7</v>
      </c>
      <c r="J110">
        <v>-14</v>
      </c>
      <c r="K110">
        <v>-14</v>
      </c>
      <c r="L110">
        <v>3700</v>
      </c>
      <c r="O110" s="2" t="str" cm="1">
        <f t="array" ref="O11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10" s="2" t="str" cm="1">
        <f t="array" ref="P110">_xlfn.IFS(Computed_insight___Success_of_active_sellers__2[[#This Row],[rating]]&gt;=4.5, "Excellent ", Computed_insight___Success_of_active_sellers__2[[#This Row],[rating]]&gt;=4, "Good ", Computed_insight___Success_of_active_sellers__2[[#This Row],[rating]]&gt;=3.5, "Average", TRUE, "Poor ")</f>
        <v xml:space="preserve">Good </v>
      </c>
      <c r="Q110" s="2" t="str" cm="1">
        <f t="array" ref="Q11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10" s="2" t="str">
        <f>IF(Computed_insight___Success_of_active_sellers__2[[#This Row],[totalurgencycount]]&gt;0, "Has Banner", "No Banner")</f>
        <v>No Banner</v>
      </c>
    </row>
    <row r="111" spans="1:18" x14ac:dyDescent="0.3">
      <c r="A111">
        <v>109</v>
      </c>
      <c r="B111" t="s">
        <v>940</v>
      </c>
      <c r="C111">
        <v>1</v>
      </c>
      <c r="D111">
        <v>20000</v>
      </c>
      <c r="E111">
        <v>20000</v>
      </c>
      <c r="F111">
        <v>4.1470000000000002</v>
      </c>
      <c r="G111">
        <v>21892</v>
      </c>
      <c r="H111">
        <v>8</v>
      </c>
      <c r="I111">
        <v>7</v>
      </c>
      <c r="J111">
        <v>-14</v>
      </c>
      <c r="K111">
        <v>-14</v>
      </c>
      <c r="L111">
        <v>3090</v>
      </c>
      <c r="O111" s="2" t="str" cm="1">
        <f t="array" ref="O11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11" s="2" t="str" cm="1">
        <f t="array" ref="P111">_xlfn.IFS(Computed_insight___Success_of_active_sellers__2[[#This Row],[rating]]&gt;=4.5, "Excellent ", Computed_insight___Success_of_active_sellers__2[[#This Row],[rating]]&gt;=4, "Good ", Computed_insight___Success_of_active_sellers__2[[#This Row],[rating]]&gt;=3.5, "Average", TRUE, "Poor ")</f>
        <v xml:space="preserve">Good </v>
      </c>
      <c r="Q111" s="2" t="str" cm="1">
        <f t="array" ref="Q11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11" s="2" t="str">
        <f>IF(Computed_insight___Success_of_active_sellers__2[[#This Row],[totalurgencycount]]&gt;0, "Has Banner", "No Banner")</f>
        <v>No Banner</v>
      </c>
    </row>
    <row r="112" spans="1:18" x14ac:dyDescent="0.3">
      <c r="A112">
        <v>110</v>
      </c>
      <c r="B112" t="s">
        <v>894</v>
      </c>
      <c r="C112">
        <v>1</v>
      </c>
      <c r="D112">
        <v>20000</v>
      </c>
      <c r="E112">
        <v>20000</v>
      </c>
      <c r="F112">
        <v>4.165</v>
      </c>
      <c r="G112">
        <v>8501</v>
      </c>
      <c r="H112">
        <v>7</v>
      </c>
      <c r="I112">
        <v>6</v>
      </c>
      <c r="J112">
        <v>-16</v>
      </c>
      <c r="K112">
        <v>-16</v>
      </c>
      <c r="L112">
        <v>2019</v>
      </c>
      <c r="M112">
        <v>1</v>
      </c>
      <c r="N112">
        <v>100</v>
      </c>
      <c r="O112" s="2" t="str" cm="1">
        <f t="array" ref="O11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12" s="2" t="str" cm="1">
        <f t="array" ref="P112">_xlfn.IFS(Computed_insight___Success_of_active_sellers__2[[#This Row],[rating]]&gt;=4.5, "Excellent ", Computed_insight___Success_of_active_sellers__2[[#This Row],[rating]]&gt;=4, "Good ", Computed_insight___Success_of_active_sellers__2[[#This Row],[rating]]&gt;=3.5, "Average", TRUE, "Poor ")</f>
        <v xml:space="preserve">Good </v>
      </c>
      <c r="Q112" s="2" t="str" cm="1">
        <f t="array" ref="Q11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12" s="2" t="str">
        <f>IF(Computed_insight___Success_of_active_sellers__2[[#This Row],[totalurgencycount]]&gt;0, "Has Banner", "No Banner")</f>
        <v>Has Banner</v>
      </c>
    </row>
    <row r="113" spans="1:18" x14ac:dyDescent="0.3">
      <c r="A113">
        <v>111</v>
      </c>
      <c r="B113" t="s">
        <v>168</v>
      </c>
      <c r="C113">
        <v>1</v>
      </c>
      <c r="D113">
        <v>20000</v>
      </c>
      <c r="E113">
        <v>20000</v>
      </c>
      <c r="F113">
        <v>4.1680000000000001</v>
      </c>
      <c r="G113">
        <v>49327</v>
      </c>
      <c r="H113">
        <v>9</v>
      </c>
      <c r="I113">
        <v>36</v>
      </c>
      <c r="J113">
        <v>75</v>
      </c>
      <c r="K113">
        <v>75</v>
      </c>
      <c r="L113">
        <v>4345</v>
      </c>
      <c r="O113" s="2" t="str" cm="1">
        <f t="array" ref="O11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13" s="2" t="str" cm="1">
        <f t="array" ref="P113">_xlfn.IFS(Computed_insight___Success_of_active_sellers__2[[#This Row],[rating]]&gt;=4.5, "Excellent ", Computed_insight___Success_of_active_sellers__2[[#This Row],[rating]]&gt;=4, "Good ", Computed_insight___Success_of_active_sellers__2[[#This Row],[rating]]&gt;=3.5, "Average", TRUE, "Poor ")</f>
        <v xml:space="preserve">Good </v>
      </c>
      <c r="Q113" s="2" t="str" cm="1">
        <f t="array" ref="Q11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13" s="2" t="str">
        <f>IF(Computed_insight___Success_of_active_sellers__2[[#This Row],[totalurgencycount]]&gt;0, "Has Banner", "No Banner")</f>
        <v>No Banner</v>
      </c>
    </row>
    <row r="114" spans="1:18" x14ac:dyDescent="0.3">
      <c r="A114">
        <v>112</v>
      </c>
      <c r="B114" t="s">
        <v>84</v>
      </c>
      <c r="C114">
        <v>1</v>
      </c>
      <c r="D114">
        <v>20000</v>
      </c>
      <c r="E114">
        <v>20000</v>
      </c>
      <c r="F114">
        <v>4.1840000000000002</v>
      </c>
      <c r="G114">
        <v>6555</v>
      </c>
      <c r="H114">
        <v>5.78</v>
      </c>
      <c r="I114">
        <v>8</v>
      </c>
      <c r="J114">
        <v>28</v>
      </c>
      <c r="K114">
        <v>28</v>
      </c>
      <c r="L114">
        <v>3975</v>
      </c>
      <c r="O114" s="2" t="str" cm="1">
        <f t="array" ref="O11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14" s="2" t="str" cm="1">
        <f t="array" ref="P114">_xlfn.IFS(Computed_insight___Success_of_active_sellers__2[[#This Row],[rating]]&gt;=4.5, "Excellent ", Computed_insight___Success_of_active_sellers__2[[#This Row],[rating]]&gt;=4, "Good ", Computed_insight___Success_of_active_sellers__2[[#This Row],[rating]]&gt;=3.5, "Average", TRUE, "Poor ")</f>
        <v xml:space="preserve">Good </v>
      </c>
      <c r="Q114" s="2" t="str" cm="1">
        <f t="array" ref="Q114">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114" s="2" t="str">
        <f>IF(Computed_insight___Success_of_active_sellers__2[[#This Row],[totalurgencycount]]&gt;0, "Has Banner", "No Banner")</f>
        <v>No Banner</v>
      </c>
    </row>
    <row r="115" spans="1:18" x14ac:dyDescent="0.3">
      <c r="A115">
        <v>113</v>
      </c>
      <c r="B115" t="s">
        <v>738</v>
      </c>
      <c r="C115">
        <v>1</v>
      </c>
      <c r="D115">
        <v>20000</v>
      </c>
      <c r="E115">
        <v>20000</v>
      </c>
      <c r="F115">
        <v>4.1959999999999997</v>
      </c>
      <c r="G115">
        <v>8205</v>
      </c>
      <c r="H115">
        <v>5.66</v>
      </c>
      <c r="I115">
        <v>5</v>
      </c>
      <c r="J115">
        <v>-13</v>
      </c>
      <c r="K115">
        <v>-13</v>
      </c>
      <c r="L115">
        <v>2927</v>
      </c>
      <c r="O115" s="2" t="str" cm="1">
        <f t="array" ref="O11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15" s="2" t="str" cm="1">
        <f t="array" ref="P115">_xlfn.IFS(Computed_insight___Success_of_active_sellers__2[[#This Row],[rating]]&gt;=4.5, "Excellent ", Computed_insight___Success_of_active_sellers__2[[#This Row],[rating]]&gt;=4, "Good ", Computed_insight___Success_of_active_sellers__2[[#This Row],[rating]]&gt;=3.5, "Average", TRUE, "Poor ")</f>
        <v xml:space="preserve">Good </v>
      </c>
      <c r="Q115" s="2" t="str" cm="1">
        <f t="array" ref="Q11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15" s="2" t="str">
        <f>IF(Computed_insight___Success_of_active_sellers__2[[#This Row],[totalurgencycount]]&gt;0, "Has Banner", "No Banner")</f>
        <v>No Banner</v>
      </c>
    </row>
    <row r="116" spans="1:18" x14ac:dyDescent="0.3">
      <c r="A116">
        <v>114</v>
      </c>
      <c r="B116" t="s">
        <v>910</v>
      </c>
      <c r="C116">
        <v>1</v>
      </c>
      <c r="D116">
        <v>20000</v>
      </c>
      <c r="E116">
        <v>20000</v>
      </c>
      <c r="F116">
        <v>4.1959999999999997</v>
      </c>
      <c r="G116">
        <v>4570</v>
      </c>
      <c r="H116">
        <v>3.65</v>
      </c>
      <c r="I116">
        <v>4</v>
      </c>
      <c r="J116">
        <v>9</v>
      </c>
      <c r="K116">
        <v>9</v>
      </c>
      <c r="L116">
        <v>4215</v>
      </c>
      <c r="O116" s="2" t="str" cm="1">
        <f t="array" ref="O11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16" s="2" t="str" cm="1">
        <f t="array" ref="P116">_xlfn.IFS(Computed_insight___Success_of_active_sellers__2[[#This Row],[rating]]&gt;=4.5, "Excellent ", Computed_insight___Success_of_active_sellers__2[[#This Row],[rating]]&gt;=4, "Good ", Computed_insight___Success_of_active_sellers__2[[#This Row],[rating]]&gt;=3.5, "Average", TRUE, "Poor ")</f>
        <v xml:space="preserve">Good </v>
      </c>
      <c r="Q116" s="2" t="str" cm="1">
        <f t="array" ref="Q116">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116" s="2" t="str">
        <f>IF(Computed_insight___Success_of_active_sellers__2[[#This Row],[totalurgencycount]]&gt;0, "Has Banner", "No Banner")</f>
        <v>No Banner</v>
      </c>
    </row>
    <row r="117" spans="1:18" x14ac:dyDescent="0.3">
      <c r="A117">
        <v>115</v>
      </c>
      <c r="B117" t="s">
        <v>902</v>
      </c>
      <c r="C117">
        <v>1</v>
      </c>
      <c r="D117">
        <v>20000</v>
      </c>
      <c r="E117">
        <v>20000</v>
      </c>
      <c r="F117">
        <v>4.1970000000000001</v>
      </c>
      <c r="G117">
        <v>127966</v>
      </c>
      <c r="H117">
        <v>5.71</v>
      </c>
      <c r="I117">
        <v>84</v>
      </c>
      <c r="J117">
        <v>94</v>
      </c>
      <c r="K117">
        <v>94</v>
      </c>
      <c r="L117">
        <v>4657</v>
      </c>
      <c r="M117">
        <v>1</v>
      </c>
      <c r="N117">
        <v>100</v>
      </c>
      <c r="O117" s="2" t="str" cm="1">
        <f t="array" ref="O11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17" s="2" t="str" cm="1">
        <f t="array" ref="P117">_xlfn.IFS(Computed_insight___Success_of_active_sellers__2[[#This Row],[rating]]&gt;=4.5, "Excellent ", Computed_insight___Success_of_active_sellers__2[[#This Row],[rating]]&gt;=4, "Good ", Computed_insight___Success_of_active_sellers__2[[#This Row],[rating]]&gt;=3.5, "Average", TRUE, "Poor ")</f>
        <v xml:space="preserve">Good </v>
      </c>
      <c r="Q117" s="2" t="str" cm="1">
        <f t="array" ref="Q11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17" s="2" t="str">
        <f>IF(Computed_insight___Success_of_active_sellers__2[[#This Row],[totalurgencycount]]&gt;0, "Has Banner", "No Banner")</f>
        <v>Has Banner</v>
      </c>
    </row>
    <row r="118" spans="1:18" x14ac:dyDescent="0.3">
      <c r="A118">
        <v>116</v>
      </c>
      <c r="B118" t="s">
        <v>139</v>
      </c>
      <c r="C118">
        <v>1</v>
      </c>
      <c r="D118">
        <v>20000</v>
      </c>
      <c r="E118">
        <v>20000</v>
      </c>
      <c r="F118">
        <v>4.2050000000000001</v>
      </c>
      <c r="G118">
        <v>48654</v>
      </c>
      <c r="H118">
        <v>8</v>
      </c>
      <c r="I118">
        <v>84</v>
      </c>
      <c r="J118">
        <v>91</v>
      </c>
      <c r="K118">
        <v>91</v>
      </c>
      <c r="L118">
        <v>8960</v>
      </c>
      <c r="M118">
        <v>1</v>
      </c>
      <c r="N118">
        <v>100</v>
      </c>
      <c r="O118" s="2" t="str" cm="1">
        <f t="array" ref="O11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18" s="2" t="str" cm="1">
        <f t="array" ref="P118">_xlfn.IFS(Computed_insight___Success_of_active_sellers__2[[#This Row],[rating]]&gt;=4.5, "Excellent ", Computed_insight___Success_of_active_sellers__2[[#This Row],[rating]]&gt;=4, "Good ", Computed_insight___Success_of_active_sellers__2[[#This Row],[rating]]&gt;=3.5, "Average", TRUE, "Poor ")</f>
        <v xml:space="preserve">Good </v>
      </c>
      <c r="Q118" s="2" t="str" cm="1">
        <f t="array" ref="Q11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18" s="2" t="str">
        <f>IF(Computed_insight___Success_of_active_sellers__2[[#This Row],[totalurgencycount]]&gt;0, "Has Banner", "No Banner")</f>
        <v>Has Banner</v>
      </c>
    </row>
    <row r="119" spans="1:18" x14ac:dyDescent="0.3">
      <c r="A119">
        <v>117</v>
      </c>
      <c r="B119" t="s">
        <v>448</v>
      </c>
      <c r="C119">
        <v>1</v>
      </c>
      <c r="D119">
        <v>20000</v>
      </c>
      <c r="E119">
        <v>20000</v>
      </c>
      <c r="F119">
        <v>4.2089999999999996</v>
      </c>
      <c r="G119">
        <v>32923</v>
      </c>
      <c r="H119">
        <v>8</v>
      </c>
      <c r="I119">
        <v>7</v>
      </c>
      <c r="J119">
        <v>-14</v>
      </c>
      <c r="K119">
        <v>-14</v>
      </c>
      <c r="L119">
        <v>5781</v>
      </c>
      <c r="O119" s="2" t="str" cm="1">
        <f t="array" ref="O11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19" s="2" t="str" cm="1">
        <f t="array" ref="P119">_xlfn.IFS(Computed_insight___Success_of_active_sellers__2[[#This Row],[rating]]&gt;=4.5, "Excellent ", Computed_insight___Success_of_active_sellers__2[[#This Row],[rating]]&gt;=4, "Good ", Computed_insight___Success_of_active_sellers__2[[#This Row],[rating]]&gt;=3.5, "Average", TRUE, "Poor ")</f>
        <v xml:space="preserve">Good </v>
      </c>
      <c r="Q119" s="2" t="str" cm="1">
        <f t="array" ref="Q11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19" s="2" t="str">
        <f>IF(Computed_insight___Success_of_active_sellers__2[[#This Row],[totalurgencycount]]&gt;0, "Has Banner", "No Banner")</f>
        <v>No Banner</v>
      </c>
    </row>
    <row r="120" spans="1:18" x14ac:dyDescent="0.3">
      <c r="A120">
        <v>118</v>
      </c>
      <c r="B120" t="s">
        <v>904</v>
      </c>
      <c r="C120">
        <v>1</v>
      </c>
      <c r="D120">
        <v>20000</v>
      </c>
      <c r="E120">
        <v>20000</v>
      </c>
      <c r="F120">
        <v>4.26</v>
      </c>
      <c r="G120">
        <v>10269</v>
      </c>
      <c r="H120">
        <v>5</v>
      </c>
      <c r="I120">
        <v>5</v>
      </c>
      <c r="J120">
        <v>0</v>
      </c>
      <c r="K120">
        <v>0</v>
      </c>
      <c r="L120">
        <v>7773</v>
      </c>
      <c r="O120" s="2" t="str" cm="1">
        <f t="array" ref="O12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20" s="2" t="str" cm="1">
        <f t="array" ref="P120">_xlfn.IFS(Computed_insight___Success_of_active_sellers__2[[#This Row],[rating]]&gt;=4.5, "Excellent ", Computed_insight___Success_of_active_sellers__2[[#This Row],[rating]]&gt;=4, "Good ", Computed_insight___Success_of_active_sellers__2[[#This Row],[rating]]&gt;=3.5, "Average", TRUE, "Poor ")</f>
        <v xml:space="preserve">Good </v>
      </c>
      <c r="Q120" s="2" t="str" cm="1">
        <f t="array" ref="Q12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20" s="2" t="str">
        <f>IF(Computed_insight___Success_of_active_sellers__2[[#This Row],[totalurgencycount]]&gt;0, "Has Banner", "No Banner")</f>
        <v>No Banner</v>
      </c>
    </row>
    <row r="121" spans="1:18" x14ac:dyDescent="0.3">
      <c r="A121">
        <v>119</v>
      </c>
      <c r="B121" t="s">
        <v>439</v>
      </c>
      <c r="C121">
        <v>1</v>
      </c>
      <c r="D121">
        <v>20000</v>
      </c>
      <c r="E121">
        <v>20000</v>
      </c>
      <c r="F121">
        <v>4.2880000000000003</v>
      </c>
      <c r="G121">
        <v>44067</v>
      </c>
      <c r="H121">
        <v>13</v>
      </c>
      <c r="I121">
        <v>11</v>
      </c>
      <c r="J121">
        <v>-18</v>
      </c>
      <c r="K121">
        <v>-18</v>
      </c>
      <c r="L121">
        <v>4378</v>
      </c>
      <c r="M121">
        <v>1</v>
      </c>
      <c r="N121">
        <v>100</v>
      </c>
      <c r="O121" s="2" t="str" cm="1">
        <f t="array" ref="O12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21" s="2" t="str" cm="1">
        <f t="array" ref="P121">_xlfn.IFS(Computed_insight___Success_of_active_sellers__2[[#This Row],[rating]]&gt;=4.5, "Excellent ", Computed_insight___Success_of_active_sellers__2[[#This Row],[rating]]&gt;=4, "Good ", Computed_insight___Success_of_active_sellers__2[[#This Row],[rating]]&gt;=3.5, "Average", TRUE, "Poor ")</f>
        <v xml:space="preserve">Good </v>
      </c>
      <c r="Q121" s="2" t="str" cm="1">
        <f t="array" ref="Q12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21" s="2" t="str">
        <f>IF(Computed_insight___Success_of_active_sellers__2[[#This Row],[totalurgencycount]]&gt;0, "Has Banner", "No Banner")</f>
        <v>Has Banner</v>
      </c>
    </row>
    <row r="122" spans="1:18" x14ac:dyDescent="0.3">
      <c r="A122">
        <v>120</v>
      </c>
      <c r="B122" t="s">
        <v>302</v>
      </c>
      <c r="C122">
        <v>1</v>
      </c>
      <c r="D122">
        <v>20000</v>
      </c>
      <c r="E122">
        <v>20000</v>
      </c>
      <c r="F122">
        <v>4.2919999999999998</v>
      </c>
      <c r="G122">
        <v>4448</v>
      </c>
      <c r="H122">
        <v>11</v>
      </c>
      <c r="I122">
        <v>10</v>
      </c>
      <c r="J122">
        <v>-10</v>
      </c>
      <c r="K122">
        <v>-10</v>
      </c>
      <c r="L122">
        <v>3648</v>
      </c>
      <c r="O122" s="2" t="str" cm="1">
        <f t="array" ref="O12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22" s="2" t="str" cm="1">
        <f t="array" ref="P122">_xlfn.IFS(Computed_insight___Success_of_active_sellers__2[[#This Row],[rating]]&gt;=4.5, "Excellent ", Computed_insight___Success_of_active_sellers__2[[#This Row],[rating]]&gt;=4, "Good ", Computed_insight___Success_of_active_sellers__2[[#This Row],[rating]]&gt;=3.5, "Average", TRUE, "Poor ")</f>
        <v xml:space="preserve">Good </v>
      </c>
      <c r="Q122" s="2" t="str" cm="1">
        <f t="array" ref="Q12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22" s="2" t="str">
        <f>IF(Computed_insight___Success_of_active_sellers__2[[#This Row],[totalurgencycount]]&gt;0, "Has Banner", "No Banner")</f>
        <v>No Banner</v>
      </c>
    </row>
    <row r="123" spans="1:18" x14ac:dyDescent="0.3">
      <c r="A123">
        <v>121</v>
      </c>
      <c r="B123" t="s">
        <v>483</v>
      </c>
      <c r="C123">
        <v>1</v>
      </c>
      <c r="D123">
        <v>20000</v>
      </c>
      <c r="E123">
        <v>20000</v>
      </c>
      <c r="F123">
        <v>4.3099999999999996</v>
      </c>
      <c r="G123">
        <v>58068</v>
      </c>
      <c r="H123">
        <v>11</v>
      </c>
      <c r="I123">
        <v>37</v>
      </c>
      <c r="J123">
        <v>71</v>
      </c>
      <c r="K123">
        <v>71</v>
      </c>
      <c r="L123">
        <v>7596</v>
      </c>
      <c r="M123">
        <v>1</v>
      </c>
      <c r="N123">
        <v>100</v>
      </c>
      <c r="O123" s="2" t="str" cm="1">
        <f t="array" ref="O12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23" s="2" t="str" cm="1">
        <f t="array" ref="P123">_xlfn.IFS(Computed_insight___Success_of_active_sellers__2[[#This Row],[rating]]&gt;=4.5, "Excellent ", Computed_insight___Success_of_active_sellers__2[[#This Row],[rating]]&gt;=4, "Good ", Computed_insight___Success_of_active_sellers__2[[#This Row],[rating]]&gt;=3.5, "Average", TRUE, "Poor ")</f>
        <v xml:space="preserve">Good </v>
      </c>
      <c r="Q123" s="2" t="str" cm="1">
        <f t="array" ref="Q12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23" s="2" t="str">
        <f>IF(Computed_insight___Success_of_active_sellers__2[[#This Row],[totalurgencycount]]&gt;0, "Has Banner", "No Banner")</f>
        <v>Has Banner</v>
      </c>
    </row>
    <row r="124" spans="1:18" x14ac:dyDescent="0.3">
      <c r="A124">
        <v>122</v>
      </c>
      <c r="B124" t="s">
        <v>777</v>
      </c>
      <c r="C124">
        <v>1</v>
      </c>
      <c r="D124">
        <v>20000</v>
      </c>
      <c r="E124">
        <v>20000</v>
      </c>
      <c r="F124">
        <v>4.319</v>
      </c>
      <c r="G124">
        <v>12304</v>
      </c>
      <c r="H124">
        <v>5.88</v>
      </c>
      <c r="I124">
        <v>9</v>
      </c>
      <c r="J124">
        <v>35</v>
      </c>
      <c r="K124">
        <v>35</v>
      </c>
      <c r="L124">
        <v>6450</v>
      </c>
      <c r="O124" s="2" t="str" cm="1">
        <f t="array" ref="O12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24" s="2" t="str" cm="1">
        <f t="array" ref="P124">_xlfn.IFS(Computed_insight___Success_of_active_sellers__2[[#This Row],[rating]]&gt;=4.5, "Excellent ", Computed_insight___Success_of_active_sellers__2[[#This Row],[rating]]&gt;=4, "Good ", Computed_insight___Success_of_active_sellers__2[[#This Row],[rating]]&gt;=3.5, "Average", TRUE, "Poor ")</f>
        <v xml:space="preserve">Good </v>
      </c>
      <c r="Q124" s="2" t="str" cm="1">
        <f t="array" ref="Q124">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124" s="2" t="str">
        <f>IF(Computed_insight___Success_of_active_sellers__2[[#This Row],[totalurgencycount]]&gt;0, "Has Banner", "No Banner")</f>
        <v>No Banner</v>
      </c>
    </row>
    <row r="125" spans="1:18" x14ac:dyDescent="0.3">
      <c r="A125">
        <v>123</v>
      </c>
      <c r="B125" t="s">
        <v>809</v>
      </c>
      <c r="C125">
        <v>1</v>
      </c>
      <c r="D125">
        <v>20000</v>
      </c>
      <c r="E125">
        <v>20000</v>
      </c>
      <c r="F125">
        <v>4.3209999999999997</v>
      </c>
      <c r="G125">
        <v>68022</v>
      </c>
      <c r="H125">
        <v>2.65</v>
      </c>
      <c r="I125">
        <v>3</v>
      </c>
      <c r="J125">
        <v>12</v>
      </c>
      <c r="K125">
        <v>12</v>
      </c>
      <c r="L125">
        <v>3443</v>
      </c>
      <c r="O125" s="2" t="str" cm="1">
        <f t="array" ref="O12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25" s="2" t="str" cm="1">
        <f t="array" ref="P125">_xlfn.IFS(Computed_insight___Success_of_active_sellers__2[[#This Row],[rating]]&gt;=4.5, "Excellent ", Computed_insight___Success_of_active_sellers__2[[#This Row],[rating]]&gt;=4, "Good ", Computed_insight___Success_of_active_sellers__2[[#This Row],[rating]]&gt;=3.5, "Average", TRUE, "Poor ")</f>
        <v xml:space="preserve">Good </v>
      </c>
      <c r="Q125" s="2" t="str" cm="1">
        <f t="array" ref="Q125">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125" s="2" t="str">
        <f>IF(Computed_insight___Success_of_active_sellers__2[[#This Row],[totalurgencycount]]&gt;0, "Has Banner", "No Banner")</f>
        <v>No Banner</v>
      </c>
    </row>
    <row r="126" spans="1:18" x14ac:dyDescent="0.3">
      <c r="A126">
        <v>124</v>
      </c>
      <c r="B126" t="s">
        <v>713</v>
      </c>
      <c r="C126">
        <v>1</v>
      </c>
      <c r="D126">
        <v>20000</v>
      </c>
      <c r="E126">
        <v>20000</v>
      </c>
      <c r="F126">
        <v>4.33</v>
      </c>
      <c r="G126">
        <v>295161</v>
      </c>
      <c r="H126">
        <v>19</v>
      </c>
      <c r="I126">
        <v>105</v>
      </c>
      <c r="J126">
        <v>82</v>
      </c>
      <c r="K126">
        <v>82</v>
      </c>
      <c r="L126">
        <v>3787</v>
      </c>
      <c r="O126" s="2" t="str" cm="1">
        <f t="array" ref="O12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26" s="2" t="str" cm="1">
        <f t="array" ref="P126">_xlfn.IFS(Computed_insight___Success_of_active_sellers__2[[#This Row],[rating]]&gt;=4.5, "Excellent ", Computed_insight___Success_of_active_sellers__2[[#This Row],[rating]]&gt;=4, "Good ", Computed_insight___Success_of_active_sellers__2[[#This Row],[rating]]&gt;=3.5, "Average", TRUE, "Poor ")</f>
        <v xml:space="preserve">Good </v>
      </c>
      <c r="Q126" s="2" t="str" cm="1">
        <f t="array" ref="Q12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26" s="2" t="str">
        <f>IF(Computed_insight___Success_of_active_sellers__2[[#This Row],[totalurgencycount]]&gt;0, "Has Banner", "No Banner")</f>
        <v>No Banner</v>
      </c>
    </row>
    <row r="127" spans="1:18" x14ac:dyDescent="0.3">
      <c r="A127">
        <v>125</v>
      </c>
      <c r="B127" t="s">
        <v>778</v>
      </c>
      <c r="C127">
        <v>1</v>
      </c>
      <c r="D127">
        <v>20000</v>
      </c>
      <c r="E127">
        <v>20000</v>
      </c>
      <c r="F127">
        <v>4.4480000000000004</v>
      </c>
      <c r="G127">
        <v>6719</v>
      </c>
      <c r="H127">
        <v>8</v>
      </c>
      <c r="I127">
        <v>75</v>
      </c>
      <c r="J127">
        <v>90</v>
      </c>
      <c r="K127">
        <v>90</v>
      </c>
      <c r="L127">
        <v>5254</v>
      </c>
      <c r="M127">
        <v>1</v>
      </c>
      <c r="N127">
        <v>100</v>
      </c>
      <c r="O127" s="2" t="str" cm="1">
        <f t="array" ref="O12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27" s="2" t="str" cm="1">
        <f t="array" ref="P127">_xlfn.IFS(Computed_insight___Success_of_active_sellers__2[[#This Row],[rating]]&gt;=4.5, "Excellent ", Computed_insight___Success_of_active_sellers__2[[#This Row],[rating]]&gt;=4, "Good ", Computed_insight___Success_of_active_sellers__2[[#This Row],[rating]]&gt;=3.5, "Average", TRUE, "Poor ")</f>
        <v xml:space="preserve">Good </v>
      </c>
      <c r="Q127" s="2" t="str" cm="1">
        <f t="array" ref="Q12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27" s="2" t="str">
        <f>IF(Computed_insight___Success_of_active_sellers__2[[#This Row],[totalurgencycount]]&gt;0, "Has Banner", "No Banner")</f>
        <v>Has Banner</v>
      </c>
    </row>
    <row r="128" spans="1:18" x14ac:dyDescent="0.3">
      <c r="A128">
        <v>126</v>
      </c>
      <c r="B128" t="s">
        <v>938</v>
      </c>
      <c r="C128">
        <v>1</v>
      </c>
      <c r="D128">
        <v>20000</v>
      </c>
      <c r="E128">
        <v>20000</v>
      </c>
      <c r="F128">
        <v>4.4619999999999997</v>
      </c>
      <c r="G128">
        <v>100789</v>
      </c>
      <c r="H128">
        <v>3.66</v>
      </c>
      <c r="I128">
        <v>4</v>
      </c>
      <c r="J128">
        <v>9</v>
      </c>
      <c r="K128">
        <v>9</v>
      </c>
      <c r="L128">
        <v>5882</v>
      </c>
      <c r="O128" s="2" t="str" cm="1">
        <f t="array" ref="O12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28" s="2" t="str" cm="1">
        <f t="array" ref="P128">_xlfn.IFS(Computed_insight___Success_of_active_sellers__2[[#This Row],[rating]]&gt;=4.5, "Excellent ", Computed_insight___Success_of_active_sellers__2[[#This Row],[rating]]&gt;=4, "Good ", Computed_insight___Success_of_active_sellers__2[[#This Row],[rating]]&gt;=3.5, "Average", TRUE, "Poor ")</f>
        <v xml:space="preserve">Good </v>
      </c>
      <c r="Q128" s="2" t="str" cm="1">
        <f t="array" ref="Q128">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128" s="2" t="str">
        <f>IF(Computed_insight___Success_of_active_sellers__2[[#This Row],[totalurgencycount]]&gt;0, "Has Banner", "No Banner")</f>
        <v>No Banner</v>
      </c>
    </row>
    <row r="129" spans="1:18" x14ac:dyDescent="0.3">
      <c r="A129">
        <v>127</v>
      </c>
      <c r="B129" t="s">
        <v>346</v>
      </c>
      <c r="C129">
        <v>2</v>
      </c>
      <c r="D129">
        <v>20000</v>
      </c>
      <c r="E129">
        <v>10000</v>
      </c>
      <c r="F129">
        <v>3.9009999999999998</v>
      </c>
      <c r="G129">
        <v>12006</v>
      </c>
      <c r="H129">
        <v>8</v>
      </c>
      <c r="I129">
        <v>7</v>
      </c>
      <c r="J129">
        <v>-14</v>
      </c>
      <c r="K129">
        <v>-14</v>
      </c>
      <c r="L129">
        <v>2069</v>
      </c>
      <c r="M129">
        <v>1</v>
      </c>
      <c r="N129">
        <v>50</v>
      </c>
      <c r="O129" s="2" t="str" cm="1">
        <f t="array" ref="O12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29" s="2" t="str" cm="1">
        <f t="array" ref="P129">_xlfn.IFS(Computed_insight___Success_of_active_sellers__2[[#This Row],[rating]]&gt;=4.5, "Excellent ", Computed_insight___Success_of_active_sellers__2[[#This Row],[rating]]&gt;=4, "Good ", Computed_insight___Success_of_active_sellers__2[[#This Row],[rating]]&gt;=3.5, "Average", TRUE, "Poor ")</f>
        <v>Average</v>
      </c>
      <c r="Q129" s="2" t="str" cm="1">
        <f t="array" ref="Q12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29" s="2" t="str">
        <f>IF(Computed_insight___Success_of_active_sellers__2[[#This Row],[totalurgencycount]]&gt;0, "Has Banner", "No Banner")</f>
        <v>Has Banner</v>
      </c>
    </row>
    <row r="130" spans="1:18" x14ac:dyDescent="0.3">
      <c r="A130">
        <v>128</v>
      </c>
      <c r="B130" t="s">
        <v>213</v>
      </c>
      <c r="C130">
        <v>2</v>
      </c>
      <c r="D130">
        <v>20000</v>
      </c>
      <c r="E130">
        <v>10000</v>
      </c>
      <c r="F130">
        <v>3.9380000000000002</v>
      </c>
      <c r="G130">
        <v>7314</v>
      </c>
      <c r="H130">
        <v>5.93</v>
      </c>
      <c r="I130">
        <v>5.5</v>
      </c>
      <c r="J130">
        <v>-8</v>
      </c>
      <c r="K130">
        <v>-8.5</v>
      </c>
      <c r="L130">
        <v>787</v>
      </c>
      <c r="M130">
        <v>1</v>
      </c>
      <c r="N130">
        <v>50</v>
      </c>
      <c r="O130" s="2" t="str" cm="1">
        <f t="array" ref="O13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30" s="2" t="str" cm="1">
        <f t="array" ref="P130">_xlfn.IFS(Computed_insight___Success_of_active_sellers__2[[#This Row],[rating]]&gt;=4.5, "Excellent ", Computed_insight___Success_of_active_sellers__2[[#This Row],[rating]]&gt;=4, "Good ", Computed_insight___Success_of_active_sellers__2[[#This Row],[rating]]&gt;=3.5, "Average", TRUE, "Poor ")</f>
        <v>Average</v>
      </c>
      <c r="Q130" s="2" t="str" cm="1">
        <f t="array" ref="Q13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30" s="2" t="str">
        <f>IF(Computed_insight___Success_of_active_sellers__2[[#This Row],[totalurgencycount]]&gt;0, "Has Banner", "No Banner")</f>
        <v>Has Banner</v>
      </c>
    </row>
    <row r="131" spans="1:18" x14ac:dyDescent="0.3">
      <c r="A131">
        <v>129</v>
      </c>
      <c r="B131" t="s">
        <v>545</v>
      </c>
      <c r="C131">
        <v>2</v>
      </c>
      <c r="D131">
        <v>20000</v>
      </c>
      <c r="E131">
        <v>10000</v>
      </c>
      <c r="F131">
        <v>4.1440000000000001</v>
      </c>
      <c r="G131">
        <v>110548</v>
      </c>
      <c r="H131">
        <v>7</v>
      </c>
      <c r="I131">
        <v>12</v>
      </c>
      <c r="J131">
        <v>26</v>
      </c>
      <c r="K131">
        <v>25.5</v>
      </c>
      <c r="L131">
        <v>2911</v>
      </c>
      <c r="O131" s="2" t="str" cm="1">
        <f t="array" ref="O13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31" s="2" t="str" cm="1">
        <f t="array" ref="P131">_xlfn.IFS(Computed_insight___Success_of_active_sellers__2[[#This Row],[rating]]&gt;=4.5, "Excellent ", Computed_insight___Success_of_active_sellers__2[[#This Row],[rating]]&gt;=4, "Good ", Computed_insight___Success_of_active_sellers__2[[#This Row],[rating]]&gt;=3.5, "Average", TRUE, "Poor ")</f>
        <v xml:space="preserve">Good </v>
      </c>
      <c r="Q131" s="2" t="str" cm="1">
        <f t="array" ref="Q131">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131" s="2" t="str">
        <f>IF(Computed_insight___Success_of_active_sellers__2[[#This Row],[totalurgencycount]]&gt;0, "Has Banner", "No Banner")</f>
        <v>No Banner</v>
      </c>
    </row>
    <row r="132" spans="1:18" x14ac:dyDescent="0.3">
      <c r="A132">
        <v>130</v>
      </c>
      <c r="B132" t="s">
        <v>427</v>
      </c>
      <c r="C132">
        <v>2</v>
      </c>
      <c r="D132">
        <v>20000</v>
      </c>
      <c r="E132">
        <v>10000</v>
      </c>
      <c r="F132">
        <v>4.1680000000000001</v>
      </c>
      <c r="G132">
        <v>2050</v>
      </c>
      <c r="H132">
        <v>8</v>
      </c>
      <c r="I132">
        <v>140</v>
      </c>
      <c r="J132">
        <v>95</v>
      </c>
      <c r="K132">
        <v>95</v>
      </c>
      <c r="L132">
        <v>1910</v>
      </c>
      <c r="M132">
        <v>1</v>
      </c>
      <c r="N132">
        <v>50</v>
      </c>
      <c r="O132" s="2" t="str" cm="1">
        <f t="array" ref="O13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32" s="2" t="str" cm="1">
        <f t="array" ref="P132">_xlfn.IFS(Computed_insight___Success_of_active_sellers__2[[#This Row],[rating]]&gt;=4.5, "Excellent ", Computed_insight___Success_of_active_sellers__2[[#This Row],[rating]]&gt;=4, "Good ", Computed_insight___Success_of_active_sellers__2[[#This Row],[rating]]&gt;=3.5, "Average", TRUE, "Poor ")</f>
        <v xml:space="preserve">Good </v>
      </c>
      <c r="Q132" s="2" t="str" cm="1">
        <f t="array" ref="Q13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32" s="2" t="str">
        <f>IF(Computed_insight___Success_of_active_sellers__2[[#This Row],[totalurgencycount]]&gt;0, "Has Banner", "No Banner")</f>
        <v>Has Banner</v>
      </c>
    </row>
    <row r="133" spans="1:18" x14ac:dyDescent="0.3">
      <c r="A133">
        <v>131</v>
      </c>
      <c r="B133" t="s">
        <v>253</v>
      </c>
      <c r="C133">
        <v>2</v>
      </c>
      <c r="D133">
        <v>20000</v>
      </c>
      <c r="E133">
        <v>10000</v>
      </c>
      <c r="F133">
        <v>4.194</v>
      </c>
      <c r="G133">
        <v>3665</v>
      </c>
      <c r="H133">
        <v>8</v>
      </c>
      <c r="I133">
        <v>16</v>
      </c>
      <c r="J133">
        <v>50</v>
      </c>
      <c r="K133">
        <v>50</v>
      </c>
      <c r="L133">
        <v>1589</v>
      </c>
      <c r="M133">
        <v>1</v>
      </c>
      <c r="N133">
        <v>50</v>
      </c>
      <c r="O133" s="2" t="str" cm="1">
        <f t="array" ref="O13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33" s="2" t="str" cm="1">
        <f t="array" ref="P133">_xlfn.IFS(Computed_insight___Success_of_active_sellers__2[[#This Row],[rating]]&gt;=4.5, "Excellent ", Computed_insight___Success_of_active_sellers__2[[#This Row],[rating]]&gt;=4, "Good ", Computed_insight___Success_of_active_sellers__2[[#This Row],[rating]]&gt;=3.5, "Average", TRUE, "Poor ")</f>
        <v xml:space="preserve">Good </v>
      </c>
      <c r="Q133" s="2" t="str" cm="1">
        <f t="array" ref="Q133">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133" s="2" t="str">
        <f>IF(Computed_insight___Success_of_active_sellers__2[[#This Row],[totalurgencycount]]&gt;0, "Has Banner", "No Banner")</f>
        <v>Has Banner</v>
      </c>
    </row>
    <row r="134" spans="1:18" x14ac:dyDescent="0.3">
      <c r="A134">
        <v>132</v>
      </c>
      <c r="B134" t="s">
        <v>669</v>
      </c>
      <c r="C134">
        <v>2</v>
      </c>
      <c r="D134">
        <v>20000</v>
      </c>
      <c r="E134">
        <v>10000</v>
      </c>
      <c r="F134">
        <v>4.2359999999999998</v>
      </c>
      <c r="G134">
        <v>190918</v>
      </c>
      <c r="H134">
        <v>11</v>
      </c>
      <c r="I134">
        <v>10</v>
      </c>
      <c r="J134">
        <v>-10</v>
      </c>
      <c r="K134">
        <v>-10</v>
      </c>
      <c r="L134">
        <v>1717</v>
      </c>
      <c r="M134">
        <v>1</v>
      </c>
      <c r="N134">
        <v>50</v>
      </c>
      <c r="O134" s="2" t="str" cm="1">
        <f t="array" ref="O13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34" s="2" t="str" cm="1">
        <f t="array" ref="P134">_xlfn.IFS(Computed_insight___Success_of_active_sellers__2[[#This Row],[rating]]&gt;=4.5, "Excellent ", Computed_insight___Success_of_active_sellers__2[[#This Row],[rating]]&gt;=4, "Good ", Computed_insight___Success_of_active_sellers__2[[#This Row],[rating]]&gt;=3.5, "Average", TRUE, "Poor ")</f>
        <v xml:space="preserve">Good </v>
      </c>
      <c r="Q134" s="2" t="str" cm="1">
        <f t="array" ref="Q13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34" s="2" t="str">
        <f>IF(Computed_insight___Success_of_active_sellers__2[[#This Row],[totalurgencycount]]&gt;0, "Has Banner", "No Banner")</f>
        <v>Has Banner</v>
      </c>
    </row>
    <row r="135" spans="1:18" x14ac:dyDescent="0.3">
      <c r="A135">
        <v>133</v>
      </c>
      <c r="B135" t="s">
        <v>420</v>
      </c>
      <c r="C135">
        <v>2</v>
      </c>
      <c r="D135">
        <v>20000</v>
      </c>
      <c r="E135">
        <v>10000</v>
      </c>
      <c r="F135">
        <v>4.2439999999999998</v>
      </c>
      <c r="G135">
        <v>10258</v>
      </c>
      <c r="H135">
        <v>8</v>
      </c>
      <c r="I135">
        <v>7</v>
      </c>
      <c r="J135">
        <v>-14</v>
      </c>
      <c r="K135">
        <v>-14</v>
      </c>
      <c r="L135">
        <v>2438</v>
      </c>
      <c r="O135" s="2" t="str" cm="1">
        <f t="array" ref="O13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35" s="2" t="str" cm="1">
        <f t="array" ref="P135">_xlfn.IFS(Computed_insight___Success_of_active_sellers__2[[#This Row],[rating]]&gt;=4.5, "Excellent ", Computed_insight___Success_of_active_sellers__2[[#This Row],[rating]]&gt;=4, "Good ", Computed_insight___Success_of_active_sellers__2[[#This Row],[rating]]&gt;=3.5, "Average", TRUE, "Poor ")</f>
        <v xml:space="preserve">Good </v>
      </c>
      <c r="Q135" s="2" t="str" cm="1">
        <f t="array" ref="Q13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35" s="2" t="str">
        <f>IF(Computed_insight___Success_of_active_sellers__2[[#This Row],[totalurgencycount]]&gt;0, "Has Banner", "No Banner")</f>
        <v>No Banner</v>
      </c>
    </row>
    <row r="136" spans="1:18" x14ac:dyDescent="0.3">
      <c r="A136">
        <v>134</v>
      </c>
      <c r="B136" t="s">
        <v>340</v>
      </c>
      <c r="C136">
        <v>2</v>
      </c>
      <c r="D136">
        <v>20000</v>
      </c>
      <c r="E136">
        <v>10000</v>
      </c>
      <c r="F136">
        <v>4.3070000000000004</v>
      </c>
      <c r="G136">
        <v>5808</v>
      </c>
      <c r="H136">
        <v>9</v>
      </c>
      <c r="I136">
        <v>10</v>
      </c>
      <c r="J136">
        <v>10</v>
      </c>
      <c r="K136">
        <v>10</v>
      </c>
      <c r="L136">
        <v>2587</v>
      </c>
      <c r="M136">
        <v>1</v>
      </c>
      <c r="N136">
        <v>50</v>
      </c>
      <c r="O136" s="2" t="str" cm="1">
        <f t="array" ref="O13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Platinum </v>
      </c>
      <c r="P136" s="2" t="str" cm="1">
        <f t="array" ref="P136">_xlfn.IFS(Computed_insight___Success_of_active_sellers__2[[#This Row],[rating]]&gt;=4.5, "Excellent ", Computed_insight___Success_of_active_sellers__2[[#This Row],[rating]]&gt;=4, "Good ", Computed_insight___Success_of_active_sellers__2[[#This Row],[rating]]&gt;=3.5, "Average", TRUE, "Poor ")</f>
        <v xml:space="preserve">Good </v>
      </c>
      <c r="Q136" s="2" t="str" cm="1">
        <f t="array" ref="Q136">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136" s="2" t="str">
        <f>IF(Computed_insight___Success_of_active_sellers__2[[#This Row],[totalurgencycount]]&gt;0, "Has Banner", "No Banner")</f>
        <v>Has Banner</v>
      </c>
    </row>
    <row r="137" spans="1:18" x14ac:dyDescent="0.3">
      <c r="A137">
        <v>135</v>
      </c>
      <c r="B137" t="s">
        <v>36</v>
      </c>
      <c r="C137">
        <v>8</v>
      </c>
      <c r="D137">
        <v>17400</v>
      </c>
      <c r="E137">
        <v>2175</v>
      </c>
      <c r="F137">
        <v>3.8679999999999999</v>
      </c>
      <c r="G137">
        <v>10600</v>
      </c>
      <c r="H137">
        <v>5.45</v>
      </c>
      <c r="I137">
        <v>5.38</v>
      </c>
      <c r="J137">
        <v>0</v>
      </c>
      <c r="K137">
        <v>-0.12</v>
      </c>
      <c r="L137">
        <v>326</v>
      </c>
      <c r="M137">
        <v>2</v>
      </c>
      <c r="N137">
        <v>25</v>
      </c>
      <c r="O137" s="2" t="str" cm="1">
        <f t="array" ref="O13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37" s="2" t="str" cm="1">
        <f t="array" ref="P137">_xlfn.IFS(Computed_insight___Success_of_active_sellers__2[[#This Row],[rating]]&gt;=4.5, "Excellent ", Computed_insight___Success_of_active_sellers__2[[#This Row],[rating]]&gt;=4, "Good ", Computed_insight___Success_of_active_sellers__2[[#This Row],[rating]]&gt;=3.5, "Average", TRUE, "Poor ")</f>
        <v>Average</v>
      </c>
      <c r="Q137" s="2" t="str" cm="1">
        <f t="array" ref="Q13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37" s="2" t="str">
        <f>IF(Computed_insight___Success_of_active_sellers__2[[#This Row],[totalurgencycount]]&gt;0, "Has Banner", "No Banner")</f>
        <v>Has Banner</v>
      </c>
    </row>
    <row r="138" spans="1:18" x14ac:dyDescent="0.3">
      <c r="A138">
        <v>136</v>
      </c>
      <c r="B138" t="s">
        <v>521</v>
      </c>
      <c r="C138">
        <v>4</v>
      </c>
      <c r="D138">
        <v>17000</v>
      </c>
      <c r="E138">
        <v>4250</v>
      </c>
      <c r="F138">
        <v>3.899</v>
      </c>
      <c r="G138">
        <v>17120</v>
      </c>
      <c r="H138">
        <v>10</v>
      </c>
      <c r="I138">
        <v>17.5</v>
      </c>
      <c r="J138">
        <v>27</v>
      </c>
      <c r="K138">
        <v>26.75</v>
      </c>
      <c r="L138">
        <v>571</v>
      </c>
      <c r="M138">
        <v>2</v>
      </c>
      <c r="N138">
        <v>50</v>
      </c>
      <c r="O138" s="2" t="str" cm="1">
        <f t="array" ref="O13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38" s="2" t="str" cm="1">
        <f t="array" ref="P138">_xlfn.IFS(Computed_insight___Success_of_active_sellers__2[[#This Row],[rating]]&gt;=4.5, "Excellent ", Computed_insight___Success_of_active_sellers__2[[#This Row],[rating]]&gt;=4, "Good ", Computed_insight___Success_of_active_sellers__2[[#This Row],[rating]]&gt;=3.5, "Average", TRUE, "Poor ")</f>
        <v>Average</v>
      </c>
      <c r="Q138" s="2" t="str" cm="1">
        <f t="array" ref="Q138">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138" s="2" t="str">
        <f>IF(Computed_insight___Success_of_active_sellers__2[[#This Row],[totalurgencycount]]&gt;0, "Has Banner", "No Banner")</f>
        <v>Has Banner</v>
      </c>
    </row>
    <row r="139" spans="1:18" x14ac:dyDescent="0.3">
      <c r="A139">
        <v>137</v>
      </c>
      <c r="B139" t="s">
        <v>67</v>
      </c>
      <c r="C139">
        <v>3</v>
      </c>
      <c r="D139">
        <v>16000</v>
      </c>
      <c r="E139">
        <v>5333</v>
      </c>
      <c r="F139">
        <v>4.1900000000000004</v>
      </c>
      <c r="G139">
        <v>21012</v>
      </c>
      <c r="H139">
        <v>3.83</v>
      </c>
      <c r="I139">
        <v>38</v>
      </c>
      <c r="J139">
        <v>89</v>
      </c>
      <c r="K139">
        <v>89.33</v>
      </c>
      <c r="L139">
        <v>1330</v>
      </c>
      <c r="O139" s="2" t="str" cm="1">
        <f t="array" ref="O13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39" s="2" t="str" cm="1">
        <f t="array" ref="P139">_xlfn.IFS(Computed_insight___Success_of_active_sellers__2[[#This Row],[rating]]&gt;=4.5, "Excellent ", Computed_insight___Success_of_active_sellers__2[[#This Row],[rating]]&gt;=4, "Good ", Computed_insight___Success_of_active_sellers__2[[#This Row],[rating]]&gt;=3.5, "Average", TRUE, "Poor ")</f>
        <v xml:space="preserve">Good </v>
      </c>
      <c r="Q139" s="2" t="str" cm="1">
        <f t="array" ref="Q13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39" s="2" t="str">
        <f>IF(Computed_insight___Success_of_active_sellers__2[[#This Row],[totalurgencycount]]&gt;0, "Has Banner", "No Banner")</f>
        <v>No Banner</v>
      </c>
    </row>
    <row r="140" spans="1:18" x14ac:dyDescent="0.3">
      <c r="A140">
        <v>138</v>
      </c>
      <c r="B140" t="s">
        <v>398</v>
      </c>
      <c r="C140">
        <v>4</v>
      </c>
      <c r="D140">
        <v>15100</v>
      </c>
      <c r="E140">
        <v>3775</v>
      </c>
      <c r="F140">
        <v>4.1669999999999998</v>
      </c>
      <c r="G140">
        <v>139788</v>
      </c>
      <c r="H140">
        <v>7.25</v>
      </c>
      <c r="I140">
        <v>23.5</v>
      </c>
      <c r="J140">
        <v>47</v>
      </c>
      <c r="K140">
        <v>46.5</v>
      </c>
      <c r="L140">
        <v>772</v>
      </c>
      <c r="M140">
        <v>1</v>
      </c>
      <c r="N140">
        <v>25</v>
      </c>
      <c r="O140" s="2" t="str" cm="1">
        <f t="array" ref="O14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40" s="2" t="str" cm="1">
        <f t="array" ref="P140">_xlfn.IFS(Computed_insight___Success_of_active_sellers__2[[#This Row],[rating]]&gt;=4.5, "Excellent ", Computed_insight___Success_of_active_sellers__2[[#This Row],[rating]]&gt;=4, "Good ", Computed_insight___Success_of_active_sellers__2[[#This Row],[rating]]&gt;=3.5, "Average", TRUE, "Poor ")</f>
        <v xml:space="preserve">Good </v>
      </c>
      <c r="Q140" s="2" t="str" cm="1">
        <f t="array" ref="Q140">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140" s="2" t="str">
        <f>IF(Computed_insight___Success_of_active_sellers__2[[#This Row],[totalurgencycount]]&gt;0, "Has Banner", "No Banner")</f>
        <v>Has Banner</v>
      </c>
    </row>
    <row r="141" spans="1:18" x14ac:dyDescent="0.3">
      <c r="A141">
        <v>139</v>
      </c>
      <c r="B141" t="s">
        <v>208</v>
      </c>
      <c r="C141">
        <v>4</v>
      </c>
      <c r="D141">
        <v>15100</v>
      </c>
      <c r="E141">
        <v>3775</v>
      </c>
      <c r="F141">
        <v>4.2750000000000004</v>
      </c>
      <c r="G141">
        <v>5781</v>
      </c>
      <c r="H141">
        <v>8.25</v>
      </c>
      <c r="I141">
        <v>22.5</v>
      </c>
      <c r="J141">
        <v>50</v>
      </c>
      <c r="K141">
        <v>49.5</v>
      </c>
      <c r="L141">
        <v>683</v>
      </c>
      <c r="M141">
        <v>1</v>
      </c>
      <c r="N141">
        <v>25</v>
      </c>
      <c r="O141" s="2" t="str" cm="1">
        <f t="array" ref="O14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41" s="2" t="str" cm="1">
        <f t="array" ref="P141">_xlfn.IFS(Computed_insight___Success_of_active_sellers__2[[#This Row],[rating]]&gt;=4.5, "Excellent ", Computed_insight___Success_of_active_sellers__2[[#This Row],[rating]]&gt;=4, "Good ", Computed_insight___Success_of_active_sellers__2[[#This Row],[rating]]&gt;=3.5, "Average", TRUE, "Poor ")</f>
        <v xml:space="preserve">Good </v>
      </c>
      <c r="Q141" s="2" t="str" cm="1">
        <f t="array" ref="Q141">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141" s="2" t="str">
        <f>IF(Computed_insight___Success_of_active_sellers__2[[#This Row],[totalurgencycount]]&gt;0, "Has Banner", "No Banner")</f>
        <v>Has Banner</v>
      </c>
    </row>
    <row r="142" spans="1:18" x14ac:dyDescent="0.3">
      <c r="A142">
        <v>140</v>
      </c>
      <c r="B142" t="s">
        <v>673</v>
      </c>
      <c r="C142">
        <v>3</v>
      </c>
      <c r="D142">
        <v>15050</v>
      </c>
      <c r="E142">
        <v>5017</v>
      </c>
      <c r="F142">
        <v>4.1459999999999999</v>
      </c>
      <c r="G142">
        <v>21485</v>
      </c>
      <c r="H142">
        <v>8.33</v>
      </c>
      <c r="I142">
        <v>17.670000000000002</v>
      </c>
      <c r="J142">
        <v>31</v>
      </c>
      <c r="K142">
        <v>30.67</v>
      </c>
      <c r="L142">
        <v>965</v>
      </c>
      <c r="O142" s="2" t="str" cm="1">
        <f t="array" ref="O14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42" s="2" t="str" cm="1">
        <f t="array" ref="P142">_xlfn.IFS(Computed_insight___Success_of_active_sellers__2[[#This Row],[rating]]&gt;=4.5, "Excellent ", Computed_insight___Success_of_active_sellers__2[[#This Row],[rating]]&gt;=4, "Good ", Computed_insight___Success_of_active_sellers__2[[#This Row],[rating]]&gt;=3.5, "Average", TRUE, "Poor ")</f>
        <v xml:space="preserve">Good </v>
      </c>
      <c r="Q142" s="2" t="str" cm="1">
        <f t="array" ref="Q142">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142" s="2" t="str">
        <f>IF(Computed_insight___Success_of_active_sellers__2[[#This Row],[totalurgencycount]]&gt;0, "Has Banner", "No Banner")</f>
        <v>No Banner</v>
      </c>
    </row>
    <row r="143" spans="1:18" x14ac:dyDescent="0.3">
      <c r="A143">
        <v>141</v>
      </c>
      <c r="B143" t="s">
        <v>82</v>
      </c>
      <c r="C143">
        <v>2</v>
      </c>
      <c r="D143">
        <v>15000</v>
      </c>
      <c r="E143">
        <v>7500</v>
      </c>
      <c r="F143">
        <v>3.9380000000000002</v>
      </c>
      <c r="G143">
        <v>4178</v>
      </c>
      <c r="H143">
        <v>8</v>
      </c>
      <c r="I143">
        <v>7</v>
      </c>
      <c r="J143">
        <v>-14</v>
      </c>
      <c r="K143">
        <v>-14</v>
      </c>
      <c r="L143">
        <v>1074</v>
      </c>
      <c r="O143" s="2" t="str" cm="1">
        <f t="array" ref="O14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43" s="2" t="str" cm="1">
        <f t="array" ref="P143">_xlfn.IFS(Computed_insight___Success_of_active_sellers__2[[#This Row],[rating]]&gt;=4.5, "Excellent ", Computed_insight___Success_of_active_sellers__2[[#This Row],[rating]]&gt;=4, "Good ", Computed_insight___Success_of_active_sellers__2[[#This Row],[rating]]&gt;=3.5, "Average", TRUE, "Poor ")</f>
        <v>Average</v>
      </c>
      <c r="Q143" s="2" t="str" cm="1">
        <f t="array" ref="Q14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43" s="2" t="str">
        <f>IF(Computed_insight___Success_of_active_sellers__2[[#This Row],[totalurgencycount]]&gt;0, "Has Banner", "No Banner")</f>
        <v>No Banner</v>
      </c>
    </row>
    <row r="144" spans="1:18" x14ac:dyDescent="0.3">
      <c r="A144">
        <v>142</v>
      </c>
      <c r="B144" t="s">
        <v>305</v>
      </c>
      <c r="C144">
        <v>2</v>
      </c>
      <c r="D144">
        <v>15000</v>
      </c>
      <c r="E144">
        <v>7500</v>
      </c>
      <c r="F144">
        <v>4.03</v>
      </c>
      <c r="G144">
        <v>16447</v>
      </c>
      <c r="H144">
        <v>13.5</v>
      </c>
      <c r="I144">
        <v>11.5</v>
      </c>
      <c r="J144">
        <v>-17</v>
      </c>
      <c r="K144">
        <v>-17</v>
      </c>
      <c r="L144">
        <v>2312</v>
      </c>
      <c r="O144" s="2" t="str" cm="1">
        <f t="array" ref="O14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44" s="2" t="str" cm="1">
        <f t="array" ref="P144">_xlfn.IFS(Computed_insight___Success_of_active_sellers__2[[#This Row],[rating]]&gt;=4.5, "Excellent ", Computed_insight___Success_of_active_sellers__2[[#This Row],[rating]]&gt;=4, "Good ", Computed_insight___Success_of_active_sellers__2[[#This Row],[rating]]&gt;=3.5, "Average", TRUE, "Poor ")</f>
        <v xml:space="preserve">Good </v>
      </c>
      <c r="Q144" s="2" t="str" cm="1">
        <f t="array" ref="Q14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44" s="2" t="str">
        <f>IF(Computed_insight___Success_of_active_sellers__2[[#This Row],[totalurgencycount]]&gt;0, "Has Banner", "No Banner")</f>
        <v>No Banner</v>
      </c>
    </row>
    <row r="145" spans="1:18" x14ac:dyDescent="0.3">
      <c r="A145">
        <v>143</v>
      </c>
      <c r="B145" t="s">
        <v>182</v>
      </c>
      <c r="C145">
        <v>2</v>
      </c>
      <c r="D145">
        <v>15000</v>
      </c>
      <c r="E145">
        <v>7500</v>
      </c>
      <c r="F145">
        <v>4.0549999999999997</v>
      </c>
      <c r="G145">
        <v>7069</v>
      </c>
      <c r="H145">
        <v>6.45</v>
      </c>
      <c r="I145">
        <v>5.5</v>
      </c>
      <c r="J145">
        <v>-17</v>
      </c>
      <c r="K145">
        <v>-17</v>
      </c>
      <c r="L145">
        <v>1255</v>
      </c>
      <c r="O145" s="2" t="str" cm="1">
        <f t="array" ref="O14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45" s="2" t="str" cm="1">
        <f t="array" ref="P145">_xlfn.IFS(Computed_insight___Success_of_active_sellers__2[[#This Row],[rating]]&gt;=4.5, "Excellent ", Computed_insight___Success_of_active_sellers__2[[#This Row],[rating]]&gt;=4, "Good ", Computed_insight___Success_of_active_sellers__2[[#This Row],[rating]]&gt;=3.5, "Average", TRUE, "Poor ")</f>
        <v xml:space="preserve">Good </v>
      </c>
      <c r="Q145" s="2" t="str" cm="1">
        <f t="array" ref="Q14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45" s="2" t="str">
        <f>IF(Computed_insight___Success_of_active_sellers__2[[#This Row],[totalurgencycount]]&gt;0, "Has Banner", "No Banner")</f>
        <v>No Banner</v>
      </c>
    </row>
    <row r="146" spans="1:18" x14ac:dyDescent="0.3">
      <c r="A146">
        <v>144</v>
      </c>
      <c r="B146" t="s">
        <v>352</v>
      </c>
      <c r="C146">
        <v>2</v>
      </c>
      <c r="D146">
        <v>15000</v>
      </c>
      <c r="E146">
        <v>7500</v>
      </c>
      <c r="F146">
        <v>4.0579999999999998</v>
      </c>
      <c r="G146">
        <v>4213</v>
      </c>
      <c r="H146">
        <v>7.5</v>
      </c>
      <c r="I146">
        <v>7</v>
      </c>
      <c r="J146">
        <v>-7</v>
      </c>
      <c r="K146">
        <v>-7</v>
      </c>
      <c r="L146">
        <v>765</v>
      </c>
      <c r="O146" s="2" t="str" cm="1">
        <f t="array" ref="O14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46" s="2" t="str" cm="1">
        <f t="array" ref="P146">_xlfn.IFS(Computed_insight___Success_of_active_sellers__2[[#This Row],[rating]]&gt;=4.5, "Excellent ", Computed_insight___Success_of_active_sellers__2[[#This Row],[rating]]&gt;=4, "Good ", Computed_insight___Success_of_active_sellers__2[[#This Row],[rating]]&gt;=3.5, "Average", TRUE, "Poor ")</f>
        <v xml:space="preserve">Good </v>
      </c>
      <c r="Q146" s="2" t="str" cm="1">
        <f t="array" ref="Q14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46" s="2" t="str">
        <f>IF(Computed_insight___Success_of_active_sellers__2[[#This Row],[totalurgencycount]]&gt;0, "Has Banner", "No Banner")</f>
        <v>No Banner</v>
      </c>
    </row>
    <row r="147" spans="1:18" x14ac:dyDescent="0.3">
      <c r="A147">
        <v>145</v>
      </c>
      <c r="B147" t="s">
        <v>423</v>
      </c>
      <c r="C147">
        <v>2</v>
      </c>
      <c r="D147">
        <v>15000</v>
      </c>
      <c r="E147">
        <v>7500</v>
      </c>
      <c r="F147">
        <v>4.2380000000000004</v>
      </c>
      <c r="G147">
        <v>22765</v>
      </c>
      <c r="H147">
        <v>10</v>
      </c>
      <c r="I147">
        <v>14.5</v>
      </c>
      <c r="J147">
        <v>25</v>
      </c>
      <c r="K147">
        <v>24.5</v>
      </c>
      <c r="L147">
        <v>1412</v>
      </c>
      <c r="M147">
        <v>1</v>
      </c>
      <c r="N147">
        <v>50</v>
      </c>
      <c r="O147" s="2" t="str" cm="1">
        <f t="array" ref="O14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47" s="2" t="str" cm="1">
        <f t="array" ref="P147">_xlfn.IFS(Computed_insight___Success_of_active_sellers__2[[#This Row],[rating]]&gt;=4.5, "Excellent ", Computed_insight___Success_of_active_sellers__2[[#This Row],[rating]]&gt;=4, "Good ", Computed_insight___Success_of_active_sellers__2[[#This Row],[rating]]&gt;=3.5, "Average", TRUE, "Poor ")</f>
        <v xml:space="preserve">Good </v>
      </c>
      <c r="Q147" s="2" t="str" cm="1">
        <f t="array" ref="Q147">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147" s="2" t="str">
        <f>IF(Computed_insight___Success_of_active_sellers__2[[#This Row],[totalurgencycount]]&gt;0, "Has Banner", "No Banner")</f>
        <v>Has Banner</v>
      </c>
    </row>
    <row r="148" spans="1:18" x14ac:dyDescent="0.3">
      <c r="A148">
        <v>146</v>
      </c>
      <c r="B148" t="s">
        <v>105</v>
      </c>
      <c r="C148">
        <v>5</v>
      </c>
      <c r="D148">
        <v>13100</v>
      </c>
      <c r="E148">
        <v>2620</v>
      </c>
      <c r="F148">
        <v>3.8860000000000001</v>
      </c>
      <c r="G148">
        <v>32858</v>
      </c>
      <c r="H148">
        <v>9.7799999999999994</v>
      </c>
      <c r="I148">
        <v>8.6</v>
      </c>
      <c r="J148">
        <v>-12</v>
      </c>
      <c r="K148">
        <v>-11.6</v>
      </c>
      <c r="L148">
        <v>804</v>
      </c>
      <c r="M148">
        <v>2</v>
      </c>
      <c r="N148">
        <v>40</v>
      </c>
      <c r="O148" s="2" t="str" cm="1">
        <f t="array" ref="O14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48" s="2" t="str" cm="1">
        <f t="array" ref="P148">_xlfn.IFS(Computed_insight___Success_of_active_sellers__2[[#This Row],[rating]]&gt;=4.5, "Excellent ", Computed_insight___Success_of_active_sellers__2[[#This Row],[rating]]&gt;=4, "Good ", Computed_insight___Success_of_active_sellers__2[[#This Row],[rating]]&gt;=3.5, "Average", TRUE, "Poor ")</f>
        <v>Average</v>
      </c>
      <c r="Q148" s="2" t="str" cm="1">
        <f t="array" ref="Q14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48" s="2" t="str">
        <f>IF(Computed_insight___Success_of_active_sellers__2[[#This Row],[totalurgencycount]]&gt;0, "Has Banner", "No Banner")</f>
        <v>Has Banner</v>
      </c>
    </row>
    <row r="149" spans="1:18" x14ac:dyDescent="0.3">
      <c r="A149">
        <v>147</v>
      </c>
      <c r="B149" t="s">
        <v>603</v>
      </c>
      <c r="C149">
        <v>4</v>
      </c>
      <c r="D149">
        <v>13000</v>
      </c>
      <c r="E149">
        <v>3250</v>
      </c>
      <c r="F149">
        <v>4.03</v>
      </c>
      <c r="G149">
        <v>37956</v>
      </c>
      <c r="H149">
        <v>6.1</v>
      </c>
      <c r="I149">
        <v>43</v>
      </c>
      <c r="J149">
        <v>65</v>
      </c>
      <c r="K149">
        <v>64.5</v>
      </c>
      <c r="L149">
        <v>717</v>
      </c>
      <c r="M149">
        <v>2</v>
      </c>
      <c r="N149">
        <v>50</v>
      </c>
      <c r="O149" s="2" t="str" cm="1">
        <f t="array" ref="O14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49" s="2" t="str" cm="1">
        <f t="array" ref="P149">_xlfn.IFS(Computed_insight___Success_of_active_sellers__2[[#This Row],[rating]]&gt;=4.5, "Excellent ", Computed_insight___Success_of_active_sellers__2[[#This Row],[rating]]&gt;=4, "Good ", Computed_insight___Success_of_active_sellers__2[[#This Row],[rating]]&gt;=3.5, "Average", TRUE, "Poor ")</f>
        <v xml:space="preserve">Good </v>
      </c>
      <c r="Q149" s="2" t="str" cm="1">
        <f t="array" ref="Q14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49" s="2" t="str">
        <f>IF(Computed_insight___Success_of_active_sellers__2[[#This Row],[totalurgencycount]]&gt;0, "Has Banner", "No Banner")</f>
        <v>Has Banner</v>
      </c>
    </row>
    <row r="150" spans="1:18" x14ac:dyDescent="0.3">
      <c r="A150">
        <v>148</v>
      </c>
      <c r="B150" t="s">
        <v>496</v>
      </c>
      <c r="C150">
        <v>3</v>
      </c>
      <c r="D150">
        <v>12000</v>
      </c>
      <c r="E150">
        <v>4000</v>
      </c>
      <c r="F150">
        <v>3.996</v>
      </c>
      <c r="G150">
        <v>25260</v>
      </c>
      <c r="H150">
        <v>6.33</v>
      </c>
      <c r="I150">
        <v>6</v>
      </c>
      <c r="J150">
        <v>-5</v>
      </c>
      <c r="K150">
        <v>-5.33</v>
      </c>
      <c r="L150">
        <v>1431</v>
      </c>
      <c r="M150">
        <v>1</v>
      </c>
      <c r="N150">
        <v>33</v>
      </c>
      <c r="O150" s="2" t="str" cm="1">
        <f t="array" ref="O15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50" s="2" t="str" cm="1">
        <f t="array" ref="P150">_xlfn.IFS(Computed_insight___Success_of_active_sellers__2[[#This Row],[rating]]&gt;=4.5, "Excellent ", Computed_insight___Success_of_active_sellers__2[[#This Row],[rating]]&gt;=4, "Good ", Computed_insight___Success_of_active_sellers__2[[#This Row],[rating]]&gt;=3.5, "Average", TRUE, "Poor ")</f>
        <v>Average</v>
      </c>
      <c r="Q150" s="2" t="str" cm="1">
        <f t="array" ref="Q15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50" s="2" t="str">
        <f>IF(Computed_insight___Success_of_active_sellers__2[[#This Row],[totalurgencycount]]&gt;0, "Has Banner", "No Banner")</f>
        <v>Has Banner</v>
      </c>
    </row>
    <row r="151" spans="1:18" x14ac:dyDescent="0.3">
      <c r="A151">
        <v>149</v>
      </c>
      <c r="B151" t="s">
        <v>645</v>
      </c>
      <c r="C151">
        <v>3</v>
      </c>
      <c r="D151">
        <v>12000</v>
      </c>
      <c r="E151">
        <v>4000</v>
      </c>
      <c r="F151">
        <v>4.0179999999999998</v>
      </c>
      <c r="G151">
        <v>35358</v>
      </c>
      <c r="H151">
        <v>5.96</v>
      </c>
      <c r="I151">
        <v>6.33</v>
      </c>
      <c r="J151">
        <v>8</v>
      </c>
      <c r="K151">
        <v>7.67</v>
      </c>
      <c r="L151">
        <v>619</v>
      </c>
      <c r="M151">
        <v>1</v>
      </c>
      <c r="N151">
        <v>33</v>
      </c>
      <c r="O151" s="2" t="str" cm="1">
        <f t="array" ref="O15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51" s="2" t="str" cm="1">
        <f t="array" ref="P151">_xlfn.IFS(Computed_insight___Success_of_active_sellers__2[[#This Row],[rating]]&gt;=4.5, "Excellent ", Computed_insight___Success_of_active_sellers__2[[#This Row],[rating]]&gt;=4, "Good ", Computed_insight___Success_of_active_sellers__2[[#This Row],[rating]]&gt;=3.5, "Average", TRUE, "Poor ")</f>
        <v xml:space="preserve">Good </v>
      </c>
      <c r="Q151" s="2" t="str" cm="1">
        <f t="array" ref="Q151">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151" s="2" t="str">
        <f>IF(Computed_insight___Success_of_active_sellers__2[[#This Row],[totalurgencycount]]&gt;0, "Has Banner", "No Banner")</f>
        <v>Has Banner</v>
      </c>
    </row>
    <row r="152" spans="1:18" x14ac:dyDescent="0.3">
      <c r="A152">
        <v>150</v>
      </c>
      <c r="B152" t="s">
        <v>15</v>
      </c>
      <c r="C152">
        <v>4</v>
      </c>
      <c r="D152">
        <v>12000</v>
      </c>
      <c r="E152">
        <v>3000</v>
      </c>
      <c r="F152">
        <v>3.9470000000000001</v>
      </c>
      <c r="G152">
        <v>5083</v>
      </c>
      <c r="H152">
        <v>7.4</v>
      </c>
      <c r="I152">
        <v>25</v>
      </c>
      <c r="J152">
        <v>38</v>
      </c>
      <c r="K152">
        <v>37.5</v>
      </c>
      <c r="L152">
        <v>489</v>
      </c>
      <c r="M152">
        <v>2</v>
      </c>
      <c r="N152">
        <v>50</v>
      </c>
      <c r="O152" s="2" t="str" cm="1">
        <f t="array" ref="O15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52" s="2" t="str" cm="1">
        <f t="array" ref="P152">_xlfn.IFS(Computed_insight___Success_of_active_sellers__2[[#This Row],[rating]]&gt;=4.5, "Excellent ", Computed_insight___Success_of_active_sellers__2[[#This Row],[rating]]&gt;=4, "Good ", Computed_insight___Success_of_active_sellers__2[[#This Row],[rating]]&gt;=3.5, "Average", TRUE, "Poor ")</f>
        <v>Average</v>
      </c>
      <c r="Q152" s="2" t="str" cm="1">
        <f t="array" ref="Q152">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152" s="2" t="str">
        <f>IF(Computed_insight___Success_of_active_sellers__2[[#This Row],[totalurgencycount]]&gt;0, "Has Banner", "No Banner")</f>
        <v>Has Banner</v>
      </c>
    </row>
    <row r="153" spans="1:18" x14ac:dyDescent="0.3">
      <c r="A153">
        <v>151</v>
      </c>
      <c r="B153" t="s">
        <v>433</v>
      </c>
      <c r="C153">
        <v>4</v>
      </c>
      <c r="D153">
        <v>12000</v>
      </c>
      <c r="E153">
        <v>3000</v>
      </c>
      <c r="F153">
        <v>4.1369999999999996</v>
      </c>
      <c r="G153">
        <v>11505</v>
      </c>
      <c r="H153">
        <v>6.11</v>
      </c>
      <c r="I153">
        <v>11.5</v>
      </c>
      <c r="J153">
        <v>33</v>
      </c>
      <c r="K153">
        <v>33</v>
      </c>
      <c r="L153">
        <v>312</v>
      </c>
      <c r="M153">
        <v>1</v>
      </c>
      <c r="N153">
        <v>25</v>
      </c>
      <c r="O153" s="2" t="str" cm="1">
        <f t="array" ref="O15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53" s="2" t="str" cm="1">
        <f t="array" ref="P153">_xlfn.IFS(Computed_insight___Success_of_active_sellers__2[[#This Row],[rating]]&gt;=4.5, "Excellent ", Computed_insight___Success_of_active_sellers__2[[#This Row],[rating]]&gt;=4, "Good ", Computed_insight___Success_of_active_sellers__2[[#This Row],[rating]]&gt;=3.5, "Average", TRUE, "Poor ")</f>
        <v xml:space="preserve">Good </v>
      </c>
      <c r="Q153" s="2" t="str" cm="1">
        <f t="array" ref="Q153">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153" s="2" t="str">
        <f>IF(Computed_insight___Success_of_active_sellers__2[[#This Row],[totalurgencycount]]&gt;0, "Has Banner", "No Banner")</f>
        <v>Has Banner</v>
      </c>
    </row>
    <row r="154" spans="1:18" x14ac:dyDescent="0.3">
      <c r="A154">
        <v>152</v>
      </c>
      <c r="B154" t="s">
        <v>124</v>
      </c>
      <c r="C154">
        <v>5</v>
      </c>
      <c r="D154">
        <v>11200</v>
      </c>
      <c r="E154">
        <v>2240</v>
      </c>
      <c r="F154">
        <v>3.9470000000000001</v>
      </c>
      <c r="G154">
        <v>130598</v>
      </c>
      <c r="H154">
        <v>10.18</v>
      </c>
      <c r="I154">
        <v>13</v>
      </c>
      <c r="J154">
        <v>4</v>
      </c>
      <c r="K154">
        <v>4.2</v>
      </c>
      <c r="L154">
        <v>437</v>
      </c>
      <c r="M154">
        <v>2</v>
      </c>
      <c r="N154">
        <v>40</v>
      </c>
      <c r="O154" s="2" t="str" cm="1">
        <f t="array" ref="O15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54" s="2" t="str" cm="1">
        <f t="array" ref="P154">_xlfn.IFS(Computed_insight___Success_of_active_sellers__2[[#This Row],[rating]]&gt;=4.5, "Excellent ", Computed_insight___Success_of_active_sellers__2[[#This Row],[rating]]&gt;=4, "Good ", Computed_insight___Success_of_active_sellers__2[[#This Row],[rating]]&gt;=3.5, "Average", TRUE, "Poor ")</f>
        <v>Average</v>
      </c>
      <c r="Q154" s="2" t="str" cm="1">
        <f t="array" ref="Q154">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154" s="2" t="str">
        <f>IF(Computed_insight___Success_of_active_sellers__2[[#This Row],[totalurgencycount]]&gt;0, "Has Banner", "No Banner")</f>
        <v>Has Banner</v>
      </c>
    </row>
    <row r="155" spans="1:18" x14ac:dyDescent="0.3">
      <c r="A155">
        <v>153</v>
      </c>
      <c r="B155" t="s">
        <v>5</v>
      </c>
      <c r="C155">
        <v>4</v>
      </c>
      <c r="D155">
        <v>11100</v>
      </c>
      <c r="E155">
        <v>2775</v>
      </c>
      <c r="F155">
        <v>4.0199999999999996</v>
      </c>
      <c r="G155">
        <v>23832</v>
      </c>
      <c r="H155">
        <v>8.75</v>
      </c>
      <c r="I155">
        <v>9.5</v>
      </c>
      <c r="J155">
        <v>7</v>
      </c>
      <c r="K155">
        <v>7</v>
      </c>
      <c r="L155">
        <v>320</v>
      </c>
      <c r="M155">
        <v>2</v>
      </c>
      <c r="N155">
        <v>50</v>
      </c>
      <c r="O155" s="2" t="str" cm="1">
        <f t="array" ref="O15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55" s="2" t="str" cm="1">
        <f t="array" ref="P155">_xlfn.IFS(Computed_insight___Success_of_active_sellers__2[[#This Row],[rating]]&gt;=4.5, "Excellent ", Computed_insight___Success_of_active_sellers__2[[#This Row],[rating]]&gt;=4, "Good ", Computed_insight___Success_of_active_sellers__2[[#This Row],[rating]]&gt;=3.5, "Average", TRUE, "Poor ")</f>
        <v xml:space="preserve">Good </v>
      </c>
      <c r="Q155" s="2" t="str" cm="1">
        <f t="array" ref="Q155">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155" s="2" t="str">
        <f>IF(Computed_insight___Success_of_active_sellers__2[[#This Row],[totalurgencycount]]&gt;0, "Has Banner", "No Banner")</f>
        <v>Has Banner</v>
      </c>
    </row>
    <row r="156" spans="1:18" x14ac:dyDescent="0.3">
      <c r="A156">
        <v>154</v>
      </c>
      <c r="B156" t="s">
        <v>260</v>
      </c>
      <c r="C156">
        <v>4</v>
      </c>
      <c r="D156">
        <v>11100</v>
      </c>
      <c r="E156">
        <v>2775</v>
      </c>
      <c r="F156">
        <v>4.101</v>
      </c>
      <c r="G156">
        <v>18029</v>
      </c>
      <c r="H156">
        <v>11.5</v>
      </c>
      <c r="I156">
        <v>17.75</v>
      </c>
      <c r="J156">
        <v>20</v>
      </c>
      <c r="K156">
        <v>19.5</v>
      </c>
      <c r="L156">
        <v>521</v>
      </c>
      <c r="M156">
        <v>1</v>
      </c>
      <c r="N156">
        <v>25</v>
      </c>
      <c r="O156" s="2" t="str" cm="1">
        <f t="array" ref="O15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56" s="2" t="str" cm="1">
        <f t="array" ref="P156">_xlfn.IFS(Computed_insight___Success_of_active_sellers__2[[#This Row],[rating]]&gt;=4.5, "Excellent ", Computed_insight___Success_of_active_sellers__2[[#This Row],[rating]]&gt;=4, "Good ", Computed_insight___Success_of_active_sellers__2[[#This Row],[rating]]&gt;=3.5, "Average", TRUE, "Poor ")</f>
        <v xml:space="preserve">Good </v>
      </c>
      <c r="Q156" s="2" t="str" cm="1">
        <f t="array" ref="Q156">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156" s="2" t="str">
        <f>IF(Computed_insight___Success_of_active_sellers__2[[#This Row],[totalurgencycount]]&gt;0, "Has Banner", "No Banner")</f>
        <v>Has Banner</v>
      </c>
    </row>
    <row r="157" spans="1:18" x14ac:dyDescent="0.3">
      <c r="A157">
        <v>155</v>
      </c>
      <c r="B157" t="s">
        <v>306</v>
      </c>
      <c r="C157">
        <v>3</v>
      </c>
      <c r="D157">
        <v>11000</v>
      </c>
      <c r="E157">
        <v>3667</v>
      </c>
      <c r="F157">
        <v>4.1020000000000003</v>
      </c>
      <c r="G157">
        <v>67171</v>
      </c>
      <c r="H157">
        <v>8</v>
      </c>
      <c r="I157">
        <v>8</v>
      </c>
      <c r="J157">
        <v>1</v>
      </c>
      <c r="K157">
        <v>1</v>
      </c>
      <c r="L157">
        <v>989</v>
      </c>
      <c r="M157">
        <v>3</v>
      </c>
      <c r="N157">
        <v>100</v>
      </c>
      <c r="O157" s="2" t="str" cm="1">
        <f t="array" ref="O15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57" s="2" t="str" cm="1">
        <f t="array" ref="P157">_xlfn.IFS(Computed_insight___Success_of_active_sellers__2[[#This Row],[rating]]&gt;=4.5, "Excellent ", Computed_insight___Success_of_active_sellers__2[[#This Row],[rating]]&gt;=4, "Good ", Computed_insight___Success_of_active_sellers__2[[#This Row],[rating]]&gt;=3.5, "Average", TRUE, "Poor ")</f>
        <v xml:space="preserve">Good </v>
      </c>
      <c r="Q157" s="2" t="str" cm="1">
        <f t="array" ref="Q157">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157" s="2" t="str">
        <f>IF(Computed_insight___Success_of_active_sellers__2[[#This Row],[totalurgencycount]]&gt;0, "Has Banner", "No Banner")</f>
        <v>Has Banner</v>
      </c>
    </row>
    <row r="158" spans="1:18" x14ac:dyDescent="0.3">
      <c r="A158">
        <v>156</v>
      </c>
      <c r="B158" t="s">
        <v>357</v>
      </c>
      <c r="C158">
        <v>2</v>
      </c>
      <c r="D158">
        <v>11000</v>
      </c>
      <c r="E158">
        <v>5500</v>
      </c>
      <c r="F158">
        <v>3.85</v>
      </c>
      <c r="G158">
        <v>5934</v>
      </c>
      <c r="H158">
        <v>8</v>
      </c>
      <c r="I158">
        <v>60.5</v>
      </c>
      <c r="J158">
        <v>70</v>
      </c>
      <c r="K158">
        <v>69.5</v>
      </c>
      <c r="L158">
        <v>410</v>
      </c>
      <c r="M158">
        <v>1</v>
      </c>
      <c r="N158">
        <v>50</v>
      </c>
      <c r="O158" s="2" t="str" cm="1">
        <f t="array" ref="O15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58" s="2" t="str" cm="1">
        <f t="array" ref="P158">_xlfn.IFS(Computed_insight___Success_of_active_sellers__2[[#This Row],[rating]]&gt;=4.5, "Excellent ", Computed_insight___Success_of_active_sellers__2[[#This Row],[rating]]&gt;=4, "Good ", Computed_insight___Success_of_active_sellers__2[[#This Row],[rating]]&gt;=3.5, "Average", TRUE, "Poor ")</f>
        <v>Average</v>
      </c>
      <c r="Q158" s="2" t="str" cm="1">
        <f t="array" ref="Q15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58" s="2" t="str">
        <f>IF(Computed_insight___Success_of_active_sellers__2[[#This Row],[totalurgencycount]]&gt;0, "Has Banner", "No Banner")</f>
        <v>Has Banner</v>
      </c>
    </row>
    <row r="159" spans="1:18" x14ac:dyDescent="0.3">
      <c r="A159">
        <v>157</v>
      </c>
      <c r="B159" t="s">
        <v>491</v>
      </c>
      <c r="C159">
        <v>2</v>
      </c>
      <c r="D159">
        <v>11000</v>
      </c>
      <c r="E159">
        <v>5500</v>
      </c>
      <c r="F159">
        <v>3.8650000000000002</v>
      </c>
      <c r="G159">
        <v>4524</v>
      </c>
      <c r="H159">
        <v>9</v>
      </c>
      <c r="I159">
        <v>18</v>
      </c>
      <c r="J159">
        <v>31</v>
      </c>
      <c r="K159">
        <v>31</v>
      </c>
      <c r="L159">
        <v>398</v>
      </c>
      <c r="O159" s="2" t="str" cm="1">
        <f t="array" ref="O15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59" s="2" t="str" cm="1">
        <f t="array" ref="P159">_xlfn.IFS(Computed_insight___Success_of_active_sellers__2[[#This Row],[rating]]&gt;=4.5, "Excellent ", Computed_insight___Success_of_active_sellers__2[[#This Row],[rating]]&gt;=4, "Good ", Computed_insight___Success_of_active_sellers__2[[#This Row],[rating]]&gt;=3.5, "Average", TRUE, "Poor ")</f>
        <v>Average</v>
      </c>
      <c r="Q159" s="2" t="str" cm="1">
        <f t="array" ref="Q159">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159" s="2" t="str">
        <f>IF(Computed_insight___Success_of_active_sellers__2[[#This Row],[totalurgencycount]]&gt;0, "Has Banner", "No Banner")</f>
        <v>No Banner</v>
      </c>
    </row>
    <row r="160" spans="1:18" x14ac:dyDescent="0.3">
      <c r="A160">
        <v>158</v>
      </c>
      <c r="B160" t="s">
        <v>635</v>
      </c>
      <c r="C160">
        <v>2</v>
      </c>
      <c r="D160">
        <v>11000</v>
      </c>
      <c r="E160">
        <v>5500</v>
      </c>
      <c r="F160">
        <v>3.9729999999999999</v>
      </c>
      <c r="G160">
        <v>45524</v>
      </c>
      <c r="H160">
        <v>6.93</v>
      </c>
      <c r="I160">
        <v>22.5</v>
      </c>
      <c r="J160">
        <v>41</v>
      </c>
      <c r="K160">
        <v>40.5</v>
      </c>
      <c r="L160">
        <v>334</v>
      </c>
      <c r="M160">
        <v>1</v>
      </c>
      <c r="N160">
        <v>50</v>
      </c>
      <c r="O160" s="2" t="str" cm="1">
        <f t="array" ref="O16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60" s="2" t="str" cm="1">
        <f t="array" ref="P160">_xlfn.IFS(Computed_insight___Success_of_active_sellers__2[[#This Row],[rating]]&gt;=4.5, "Excellent ", Computed_insight___Success_of_active_sellers__2[[#This Row],[rating]]&gt;=4, "Good ", Computed_insight___Success_of_active_sellers__2[[#This Row],[rating]]&gt;=3.5, "Average", TRUE, "Poor ")</f>
        <v>Average</v>
      </c>
      <c r="Q160" s="2" t="str" cm="1">
        <f t="array" ref="Q160">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160" s="2" t="str">
        <f>IF(Computed_insight___Success_of_active_sellers__2[[#This Row],[totalurgencycount]]&gt;0, "Has Banner", "No Banner")</f>
        <v>Has Banner</v>
      </c>
    </row>
    <row r="161" spans="1:18" x14ac:dyDescent="0.3">
      <c r="A161">
        <v>159</v>
      </c>
      <c r="B161" t="s">
        <v>490</v>
      </c>
      <c r="C161">
        <v>2</v>
      </c>
      <c r="D161">
        <v>11000</v>
      </c>
      <c r="E161">
        <v>5500</v>
      </c>
      <c r="F161">
        <v>4.0289999999999999</v>
      </c>
      <c r="G161">
        <v>10501</v>
      </c>
      <c r="H161">
        <v>6</v>
      </c>
      <c r="I161">
        <v>50</v>
      </c>
      <c r="J161">
        <v>81</v>
      </c>
      <c r="K161">
        <v>80.5</v>
      </c>
      <c r="L161">
        <v>1294</v>
      </c>
      <c r="O161" s="2" t="str" cm="1">
        <f t="array" ref="O16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61" s="2" t="str" cm="1">
        <f t="array" ref="P161">_xlfn.IFS(Computed_insight___Success_of_active_sellers__2[[#This Row],[rating]]&gt;=4.5, "Excellent ", Computed_insight___Success_of_active_sellers__2[[#This Row],[rating]]&gt;=4, "Good ", Computed_insight___Success_of_active_sellers__2[[#This Row],[rating]]&gt;=3.5, "Average", TRUE, "Poor ")</f>
        <v xml:space="preserve">Good </v>
      </c>
      <c r="Q161" s="2" t="str" cm="1">
        <f t="array" ref="Q16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61" s="2" t="str">
        <f>IF(Computed_insight___Success_of_active_sellers__2[[#This Row],[totalurgencycount]]&gt;0, "Has Banner", "No Banner")</f>
        <v>No Banner</v>
      </c>
    </row>
    <row r="162" spans="1:18" x14ac:dyDescent="0.3">
      <c r="A162">
        <v>160</v>
      </c>
      <c r="B162" t="s">
        <v>767</v>
      </c>
      <c r="C162">
        <v>2</v>
      </c>
      <c r="D162">
        <v>11000</v>
      </c>
      <c r="E162">
        <v>5500</v>
      </c>
      <c r="F162">
        <v>4.1630000000000003</v>
      </c>
      <c r="G162">
        <v>6329</v>
      </c>
      <c r="H162">
        <v>10.5</v>
      </c>
      <c r="I162">
        <v>9</v>
      </c>
      <c r="J162">
        <v>-16</v>
      </c>
      <c r="K162">
        <v>-16</v>
      </c>
      <c r="L162">
        <v>1489</v>
      </c>
      <c r="O162" s="2" t="str" cm="1">
        <f t="array" ref="O16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62" s="2" t="str" cm="1">
        <f t="array" ref="P162">_xlfn.IFS(Computed_insight___Success_of_active_sellers__2[[#This Row],[rating]]&gt;=4.5, "Excellent ", Computed_insight___Success_of_active_sellers__2[[#This Row],[rating]]&gt;=4, "Good ", Computed_insight___Success_of_active_sellers__2[[#This Row],[rating]]&gt;=3.5, "Average", TRUE, "Poor ")</f>
        <v xml:space="preserve">Good </v>
      </c>
      <c r="Q162" s="2" t="str" cm="1">
        <f t="array" ref="Q16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62" s="2" t="str">
        <f>IF(Computed_insight___Success_of_active_sellers__2[[#This Row],[totalurgencycount]]&gt;0, "Has Banner", "No Banner")</f>
        <v>No Banner</v>
      </c>
    </row>
    <row r="163" spans="1:18" x14ac:dyDescent="0.3">
      <c r="A163">
        <v>161</v>
      </c>
      <c r="B163" t="s">
        <v>616</v>
      </c>
      <c r="C163">
        <v>2</v>
      </c>
      <c r="D163">
        <v>11000</v>
      </c>
      <c r="E163">
        <v>5500</v>
      </c>
      <c r="F163">
        <v>4.1929999999999996</v>
      </c>
      <c r="G163">
        <v>20387</v>
      </c>
      <c r="H163">
        <v>15</v>
      </c>
      <c r="I163">
        <v>125</v>
      </c>
      <c r="J163">
        <v>88</v>
      </c>
      <c r="K163">
        <v>88</v>
      </c>
      <c r="L163">
        <v>1344</v>
      </c>
      <c r="M163">
        <v>1</v>
      </c>
      <c r="N163">
        <v>50</v>
      </c>
      <c r="O163" s="2" t="str" cm="1">
        <f t="array" ref="O16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63" s="2" t="str" cm="1">
        <f t="array" ref="P163">_xlfn.IFS(Computed_insight___Success_of_active_sellers__2[[#This Row],[rating]]&gt;=4.5, "Excellent ", Computed_insight___Success_of_active_sellers__2[[#This Row],[rating]]&gt;=4, "Good ", Computed_insight___Success_of_active_sellers__2[[#This Row],[rating]]&gt;=3.5, "Average", TRUE, "Poor ")</f>
        <v xml:space="preserve">Good </v>
      </c>
      <c r="Q163" s="2" t="str" cm="1">
        <f t="array" ref="Q16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63" s="2" t="str">
        <f>IF(Computed_insight___Success_of_active_sellers__2[[#This Row],[totalurgencycount]]&gt;0, "Has Banner", "No Banner")</f>
        <v>Has Banner</v>
      </c>
    </row>
    <row r="164" spans="1:18" x14ac:dyDescent="0.3">
      <c r="A164">
        <v>162</v>
      </c>
      <c r="B164" t="s">
        <v>187</v>
      </c>
      <c r="C164">
        <v>4</v>
      </c>
      <c r="D164">
        <v>10200</v>
      </c>
      <c r="E164">
        <v>2550</v>
      </c>
      <c r="F164">
        <v>4.1139999999999999</v>
      </c>
      <c r="G164">
        <v>9827</v>
      </c>
      <c r="H164">
        <v>7.5</v>
      </c>
      <c r="I164">
        <v>21</v>
      </c>
      <c r="J164">
        <v>65</v>
      </c>
      <c r="K164">
        <v>65</v>
      </c>
      <c r="L164">
        <v>310</v>
      </c>
      <c r="M164">
        <v>2</v>
      </c>
      <c r="N164">
        <v>50</v>
      </c>
      <c r="O164" s="2" t="str" cm="1">
        <f t="array" ref="O16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64" s="2" t="str" cm="1">
        <f t="array" ref="P164">_xlfn.IFS(Computed_insight___Success_of_active_sellers__2[[#This Row],[rating]]&gt;=4.5, "Excellent ", Computed_insight___Success_of_active_sellers__2[[#This Row],[rating]]&gt;=4, "Good ", Computed_insight___Success_of_active_sellers__2[[#This Row],[rating]]&gt;=3.5, "Average", TRUE, "Poor ")</f>
        <v xml:space="preserve">Good </v>
      </c>
      <c r="Q164" s="2" t="str" cm="1">
        <f t="array" ref="Q16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64" s="2" t="str">
        <f>IF(Computed_insight___Success_of_active_sellers__2[[#This Row],[totalurgencycount]]&gt;0, "Has Banner", "No Banner")</f>
        <v>Has Banner</v>
      </c>
    </row>
    <row r="165" spans="1:18" x14ac:dyDescent="0.3">
      <c r="A165">
        <v>163</v>
      </c>
      <c r="B165" t="s">
        <v>446</v>
      </c>
      <c r="C165">
        <v>3</v>
      </c>
      <c r="D165">
        <v>10100</v>
      </c>
      <c r="E165">
        <v>3367</v>
      </c>
      <c r="F165">
        <v>4.0140000000000002</v>
      </c>
      <c r="G165">
        <v>15348</v>
      </c>
      <c r="H165">
        <v>6.67</v>
      </c>
      <c r="I165">
        <v>27.33</v>
      </c>
      <c r="J165">
        <v>51</v>
      </c>
      <c r="K165">
        <v>51.33</v>
      </c>
      <c r="L165">
        <v>306</v>
      </c>
      <c r="M165">
        <v>1</v>
      </c>
      <c r="N165">
        <v>33</v>
      </c>
      <c r="O165" s="2" t="str" cm="1">
        <f t="array" ref="O16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65" s="2" t="str" cm="1">
        <f t="array" ref="P165">_xlfn.IFS(Computed_insight___Success_of_active_sellers__2[[#This Row],[rating]]&gt;=4.5, "Excellent ", Computed_insight___Success_of_active_sellers__2[[#This Row],[rating]]&gt;=4, "Good ", Computed_insight___Success_of_active_sellers__2[[#This Row],[rating]]&gt;=3.5, "Average", TRUE, "Poor ")</f>
        <v xml:space="preserve">Good </v>
      </c>
      <c r="Q165" s="2" t="str" cm="1">
        <f t="array" ref="Q16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65" s="2" t="str">
        <f>IF(Computed_insight___Success_of_active_sellers__2[[#This Row],[totalurgencycount]]&gt;0, "Has Banner", "No Banner")</f>
        <v>Has Banner</v>
      </c>
    </row>
    <row r="166" spans="1:18" x14ac:dyDescent="0.3">
      <c r="A166">
        <v>164</v>
      </c>
      <c r="B166" t="s">
        <v>861</v>
      </c>
      <c r="C166">
        <v>2</v>
      </c>
      <c r="D166">
        <v>10100</v>
      </c>
      <c r="E166">
        <v>5050</v>
      </c>
      <c r="F166">
        <v>3.9279999999999999</v>
      </c>
      <c r="G166">
        <v>29615</v>
      </c>
      <c r="H166">
        <v>10</v>
      </c>
      <c r="I166">
        <v>27</v>
      </c>
      <c r="J166">
        <v>47</v>
      </c>
      <c r="K166">
        <v>47</v>
      </c>
      <c r="L166">
        <v>206</v>
      </c>
      <c r="O166" s="2" t="str" cm="1">
        <f t="array" ref="O16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66" s="2" t="str" cm="1">
        <f t="array" ref="P166">_xlfn.IFS(Computed_insight___Success_of_active_sellers__2[[#This Row],[rating]]&gt;=4.5, "Excellent ", Computed_insight___Success_of_active_sellers__2[[#This Row],[rating]]&gt;=4, "Good ", Computed_insight___Success_of_active_sellers__2[[#This Row],[rating]]&gt;=3.5, "Average", TRUE, "Poor ")</f>
        <v>Average</v>
      </c>
      <c r="Q166" s="2" t="str" cm="1">
        <f t="array" ref="Q166">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166" s="2" t="str">
        <f>IF(Computed_insight___Success_of_active_sellers__2[[#This Row],[totalurgencycount]]&gt;0, "Has Banner", "No Banner")</f>
        <v>No Banner</v>
      </c>
    </row>
    <row r="167" spans="1:18" x14ac:dyDescent="0.3">
      <c r="A167">
        <v>165</v>
      </c>
      <c r="B167" t="s">
        <v>492</v>
      </c>
      <c r="C167">
        <v>2</v>
      </c>
      <c r="D167">
        <v>10100</v>
      </c>
      <c r="E167">
        <v>5050</v>
      </c>
      <c r="F167">
        <v>3.9870000000000001</v>
      </c>
      <c r="G167">
        <v>59234</v>
      </c>
      <c r="H167">
        <v>7.5</v>
      </c>
      <c r="I167">
        <v>46</v>
      </c>
      <c r="J167">
        <v>46</v>
      </c>
      <c r="K167">
        <v>45.5</v>
      </c>
      <c r="L167">
        <v>398</v>
      </c>
      <c r="O167" s="2" t="str" cm="1">
        <f t="array" ref="O16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67" s="2" t="str" cm="1">
        <f t="array" ref="P167">_xlfn.IFS(Computed_insight___Success_of_active_sellers__2[[#This Row],[rating]]&gt;=4.5, "Excellent ", Computed_insight___Success_of_active_sellers__2[[#This Row],[rating]]&gt;=4, "Good ", Computed_insight___Success_of_active_sellers__2[[#This Row],[rating]]&gt;=3.5, "Average", TRUE, "Poor ")</f>
        <v>Average</v>
      </c>
      <c r="Q167" s="2" t="str" cm="1">
        <f t="array" ref="Q167">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167" s="2" t="str">
        <f>IF(Computed_insight___Success_of_active_sellers__2[[#This Row],[totalurgencycount]]&gt;0, "Has Banner", "No Banner")</f>
        <v>No Banner</v>
      </c>
    </row>
    <row r="168" spans="1:18" x14ac:dyDescent="0.3">
      <c r="A168">
        <v>166</v>
      </c>
      <c r="B168" t="s">
        <v>540</v>
      </c>
      <c r="C168">
        <v>1</v>
      </c>
      <c r="D168">
        <v>10000</v>
      </c>
      <c r="E168">
        <v>10000</v>
      </c>
      <c r="F168">
        <v>3.7949999999999999</v>
      </c>
      <c r="G168">
        <v>6158</v>
      </c>
      <c r="H168">
        <v>12</v>
      </c>
      <c r="I168">
        <v>11</v>
      </c>
      <c r="J168">
        <v>-9</v>
      </c>
      <c r="K168">
        <v>-9</v>
      </c>
      <c r="L168">
        <v>1276</v>
      </c>
      <c r="M168">
        <v>1</v>
      </c>
      <c r="N168">
        <v>100</v>
      </c>
      <c r="O168" s="2" t="str" cm="1">
        <f t="array" ref="O16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68" s="2" t="str" cm="1">
        <f t="array" ref="P168">_xlfn.IFS(Computed_insight___Success_of_active_sellers__2[[#This Row],[rating]]&gt;=4.5, "Excellent ", Computed_insight___Success_of_active_sellers__2[[#This Row],[rating]]&gt;=4, "Good ", Computed_insight___Success_of_active_sellers__2[[#This Row],[rating]]&gt;=3.5, "Average", TRUE, "Poor ")</f>
        <v>Average</v>
      </c>
      <c r="Q168" s="2" t="str" cm="1">
        <f t="array" ref="Q16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68" s="2" t="str">
        <f>IF(Computed_insight___Success_of_active_sellers__2[[#This Row],[totalurgencycount]]&gt;0, "Has Banner", "No Banner")</f>
        <v>Has Banner</v>
      </c>
    </row>
    <row r="169" spans="1:18" x14ac:dyDescent="0.3">
      <c r="A169">
        <v>167</v>
      </c>
      <c r="B169" t="s">
        <v>422</v>
      </c>
      <c r="C169">
        <v>1</v>
      </c>
      <c r="D169">
        <v>10000</v>
      </c>
      <c r="E169">
        <v>10000</v>
      </c>
      <c r="F169">
        <v>3.7949999999999999</v>
      </c>
      <c r="G169">
        <v>1260</v>
      </c>
      <c r="H169">
        <v>8</v>
      </c>
      <c r="I169">
        <v>56</v>
      </c>
      <c r="J169">
        <v>86</v>
      </c>
      <c r="K169">
        <v>86</v>
      </c>
      <c r="L169">
        <v>1285</v>
      </c>
      <c r="O169" s="2" t="str" cm="1">
        <f t="array" ref="O16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69" s="2" t="str" cm="1">
        <f t="array" ref="P169">_xlfn.IFS(Computed_insight___Success_of_active_sellers__2[[#This Row],[rating]]&gt;=4.5, "Excellent ", Computed_insight___Success_of_active_sellers__2[[#This Row],[rating]]&gt;=4, "Good ", Computed_insight___Success_of_active_sellers__2[[#This Row],[rating]]&gt;=3.5, "Average", TRUE, "Poor ")</f>
        <v>Average</v>
      </c>
      <c r="Q169" s="2" t="str" cm="1">
        <f t="array" ref="Q16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69" s="2" t="str">
        <f>IF(Computed_insight___Success_of_active_sellers__2[[#This Row],[totalurgencycount]]&gt;0, "Has Banner", "No Banner")</f>
        <v>No Banner</v>
      </c>
    </row>
    <row r="170" spans="1:18" x14ac:dyDescent="0.3">
      <c r="A170">
        <v>168</v>
      </c>
      <c r="B170" t="s">
        <v>638</v>
      </c>
      <c r="C170">
        <v>1</v>
      </c>
      <c r="D170">
        <v>10000</v>
      </c>
      <c r="E170">
        <v>10000</v>
      </c>
      <c r="F170">
        <v>3.8490000000000002</v>
      </c>
      <c r="G170">
        <v>3972</v>
      </c>
      <c r="H170">
        <v>9</v>
      </c>
      <c r="I170">
        <v>14</v>
      </c>
      <c r="J170">
        <v>36</v>
      </c>
      <c r="K170">
        <v>36</v>
      </c>
      <c r="L170">
        <v>644</v>
      </c>
      <c r="O170" s="2" t="str" cm="1">
        <f t="array" ref="O17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70" s="2" t="str" cm="1">
        <f t="array" ref="P170">_xlfn.IFS(Computed_insight___Success_of_active_sellers__2[[#This Row],[rating]]&gt;=4.5, "Excellent ", Computed_insight___Success_of_active_sellers__2[[#This Row],[rating]]&gt;=4, "Good ", Computed_insight___Success_of_active_sellers__2[[#This Row],[rating]]&gt;=3.5, "Average", TRUE, "Poor ")</f>
        <v>Average</v>
      </c>
      <c r="Q170" s="2" t="str" cm="1">
        <f t="array" ref="Q170">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170" s="2" t="str">
        <f>IF(Computed_insight___Success_of_active_sellers__2[[#This Row],[totalurgencycount]]&gt;0, "Has Banner", "No Banner")</f>
        <v>No Banner</v>
      </c>
    </row>
    <row r="171" spans="1:18" x14ac:dyDescent="0.3">
      <c r="A171">
        <v>169</v>
      </c>
      <c r="B171" t="s">
        <v>327</v>
      </c>
      <c r="C171">
        <v>1</v>
      </c>
      <c r="D171">
        <v>10000</v>
      </c>
      <c r="E171">
        <v>10000</v>
      </c>
      <c r="F171">
        <v>3.8719999999999999</v>
      </c>
      <c r="G171">
        <v>12371</v>
      </c>
      <c r="H171">
        <v>11</v>
      </c>
      <c r="I171">
        <v>20</v>
      </c>
      <c r="J171">
        <v>45</v>
      </c>
      <c r="K171">
        <v>45</v>
      </c>
      <c r="L171">
        <v>2841</v>
      </c>
      <c r="M171">
        <v>1</v>
      </c>
      <c r="N171">
        <v>100</v>
      </c>
      <c r="O171" s="2" t="str" cm="1">
        <f t="array" ref="O17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71" s="2" t="str" cm="1">
        <f t="array" ref="P171">_xlfn.IFS(Computed_insight___Success_of_active_sellers__2[[#This Row],[rating]]&gt;=4.5, "Excellent ", Computed_insight___Success_of_active_sellers__2[[#This Row],[rating]]&gt;=4, "Good ", Computed_insight___Success_of_active_sellers__2[[#This Row],[rating]]&gt;=3.5, "Average", TRUE, "Poor ")</f>
        <v>Average</v>
      </c>
      <c r="Q171" s="2" t="str" cm="1">
        <f t="array" ref="Q171">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171" s="2" t="str">
        <f>IF(Computed_insight___Success_of_active_sellers__2[[#This Row],[totalurgencycount]]&gt;0, "Has Banner", "No Banner")</f>
        <v>Has Banner</v>
      </c>
    </row>
    <row r="172" spans="1:18" x14ac:dyDescent="0.3">
      <c r="A172">
        <v>170</v>
      </c>
      <c r="B172" t="s">
        <v>560</v>
      </c>
      <c r="C172">
        <v>1</v>
      </c>
      <c r="D172">
        <v>10000</v>
      </c>
      <c r="E172">
        <v>10000</v>
      </c>
      <c r="F172">
        <v>3.8969999999999998</v>
      </c>
      <c r="G172">
        <v>8563</v>
      </c>
      <c r="H172">
        <v>8</v>
      </c>
      <c r="I172">
        <v>7</v>
      </c>
      <c r="J172">
        <v>-14</v>
      </c>
      <c r="K172">
        <v>-14</v>
      </c>
      <c r="L172">
        <v>1467</v>
      </c>
      <c r="M172">
        <v>1</v>
      </c>
      <c r="N172">
        <v>100</v>
      </c>
      <c r="O172" s="2" t="str" cm="1">
        <f t="array" ref="O17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72" s="2" t="str" cm="1">
        <f t="array" ref="P172">_xlfn.IFS(Computed_insight___Success_of_active_sellers__2[[#This Row],[rating]]&gt;=4.5, "Excellent ", Computed_insight___Success_of_active_sellers__2[[#This Row],[rating]]&gt;=4, "Good ", Computed_insight___Success_of_active_sellers__2[[#This Row],[rating]]&gt;=3.5, "Average", TRUE, "Poor ")</f>
        <v>Average</v>
      </c>
      <c r="Q172" s="2" t="str" cm="1">
        <f t="array" ref="Q17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72" s="2" t="str">
        <f>IF(Computed_insight___Success_of_active_sellers__2[[#This Row],[totalurgencycount]]&gt;0, "Has Banner", "No Banner")</f>
        <v>Has Banner</v>
      </c>
    </row>
    <row r="173" spans="1:18" x14ac:dyDescent="0.3">
      <c r="A173">
        <v>171</v>
      </c>
      <c r="B173" t="s">
        <v>190</v>
      </c>
      <c r="C173">
        <v>1</v>
      </c>
      <c r="D173">
        <v>10000</v>
      </c>
      <c r="E173">
        <v>10000</v>
      </c>
      <c r="F173">
        <v>3.907</v>
      </c>
      <c r="G173">
        <v>1702</v>
      </c>
      <c r="H173">
        <v>7</v>
      </c>
      <c r="I173">
        <v>16</v>
      </c>
      <c r="J173">
        <v>57</v>
      </c>
      <c r="K173">
        <v>57</v>
      </c>
      <c r="L173">
        <v>1792</v>
      </c>
      <c r="O173" s="2" t="str" cm="1">
        <f t="array" ref="O17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73" s="2" t="str" cm="1">
        <f t="array" ref="P173">_xlfn.IFS(Computed_insight___Success_of_active_sellers__2[[#This Row],[rating]]&gt;=4.5, "Excellent ", Computed_insight___Success_of_active_sellers__2[[#This Row],[rating]]&gt;=4, "Good ", Computed_insight___Success_of_active_sellers__2[[#This Row],[rating]]&gt;=3.5, "Average", TRUE, "Poor ")</f>
        <v>Average</v>
      </c>
      <c r="Q173" s="2" t="str" cm="1">
        <f t="array" ref="Q17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73" s="2" t="str">
        <f>IF(Computed_insight___Success_of_active_sellers__2[[#This Row],[totalurgencycount]]&gt;0, "Has Banner", "No Banner")</f>
        <v>No Banner</v>
      </c>
    </row>
    <row r="174" spans="1:18" x14ac:dyDescent="0.3">
      <c r="A174">
        <v>172</v>
      </c>
      <c r="B174" t="s">
        <v>256</v>
      </c>
      <c r="C174">
        <v>1</v>
      </c>
      <c r="D174">
        <v>10000</v>
      </c>
      <c r="E174">
        <v>10000</v>
      </c>
      <c r="F174">
        <v>3.9409999999999998</v>
      </c>
      <c r="G174">
        <v>5466</v>
      </c>
      <c r="H174">
        <v>13</v>
      </c>
      <c r="I174">
        <v>14</v>
      </c>
      <c r="J174">
        <v>8</v>
      </c>
      <c r="K174">
        <v>8</v>
      </c>
      <c r="L174">
        <v>1938</v>
      </c>
      <c r="O174" s="2" t="str" cm="1">
        <f t="array" ref="O17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74" s="2" t="str" cm="1">
        <f t="array" ref="P174">_xlfn.IFS(Computed_insight___Success_of_active_sellers__2[[#This Row],[rating]]&gt;=4.5, "Excellent ", Computed_insight___Success_of_active_sellers__2[[#This Row],[rating]]&gt;=4, "Good ", Computed_insight___Success_of_active_sellers__2[[#This Row],[rating]]&gt;=3.5, "Average", TRUE, "Poor ")</f>
        <v>Average</v>
      </c>
      <c r="Q174" s="2" t="str" cm="1">
        <f t="array" ref="Q174">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174" s="2" t="str">
        <f>IF(Computed_insight___Success_of_active_sellers__2[[#This Row],[totalurgencycount]]&gt;0, "Has Banner", "No Banner")</f>
        <v>No Banner</v>
      </c>
    </row>
    <row r="175" spans="1:18" x14ac:dyDescent="0.3">
      <c r="A175">
        <v>173</v>
      </c>
      <c r="B175" t="s">
        <v>80</v>
      </c>
      <c r="C175">
        <v>1</v>
      </c>
      <c r="D175">
        <v>10000</v>
      </c>
      <c r="E175">
        <v>10000</v>
      </c>
      <c r="F175">
        <v>3.952</v>
      </c>
      <c r="G175">
        <v>2366</v>
      </c>
      <c r="H175">
        <v>5.9</v>
      </c>
      <c r="I175">
        <v>5</v>
      </c>
      <c r="J175">
        <v>-18</v>
      </c>
      <c r="K175">
        <v>-18</v>
      </c>
      <c r="L175">
        <v>1933</v>
      </c>
      <c r="O175" s="2" t="str" cm="1">
        <f t="array" ref="O17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75" s="2" t="str" cm="1">
        <f t="array" ref="P175">_xlfn.IFS(Computed_insight___Success_of_active_sellers__2[[#This Row],[rating]]&gt;=4.5, "Excellent ", Computed_insight___Success_of_active_sellers__2[[#This Row],[rating]]&gt;=4, "Good ", Computed_insight___Success_of_active_sellers__2[[#This Row],[rating]]&gt;=3.5, "Average", TRUE, "Poor ")</f>
        <v>Average</v>
      </c>
      <c r="Q175" s="2" t="str" cm="1">
        <f t="array" ref="Q17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75" s="2" t="str">
        <f>IF(Computed_insight___Success_of_active_sellers__2[[#This Row],[totalurgencycount]]&gt;0, "Has Banner", "No Banner")</f>
        <v>No Banner</v>
      </c>
    </row>
    <row r="176" spans="1:18" x14ac:dyDescent="0.3">
      <c r="A176">
        <v>174</v>
      </c>
      <c r="B176" t="s">
        <v>18</v>
      </c>
      <c r="C176">
        <v>1</v>
      </c>
      <c r="D176">
        <v>10000</v>
      </c>
      <c r="E176">
        <v>10000</v>
      </c>
      <c r="F176">
        <v>3.9580000000000002</v>
      </c>
      <c r="G176">
        <v>6302</v>
      </c>
      <c r="H176">
        <v>11</v>
      </c>
      <c r="I176">
        <v>10</v>
      </c>
      <c r="J176">
        <v>-10</v>
      </c>
      <c r="K176">
        <v>-10</v>
      </c>
      <c r="L176">
        <v>2058</v>
      </c>
      <c r="O176" s="2" t="str" cm="1">
        <f t="array" ref="O17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76" s="2" t="str" cm="1">
        <f t="array" ref="P176">_xlfn.IFS(Computed_insight___Success_of_active_sellers__2[[#This Row],[rating]]&gt;=4.5, "Excellent ", Computed_insight___Success_of_active_sellers__2[[#This Row],[rating]]&gt;=4, "Good ", Computed_insight___Success_of_active_sellers__2[[#This Row],[rating]]&gt;=3.5, "Average", TRUE, "Poor ")</f>
        <v>Average</v>
      </c>
      <c r="Q176" s="2" t="str" cm="1">
        <f t="array" ref="Q17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76" s="2" t="str">
        <f>IF(Computed_insight___Success_of_active_sellers__2[[#This Row],[totalurgencycount]]&gt;0, "Has Banner", "No Banner")</f>
        <v>No Banner</v>
      </c>
    </row>
    <row r="177" spans="1:18" x14ac:dyDescent="0.3">
      <c r="A177">
        <v>175</v>
      </c>
      <c r="B177" t="s">
        <v>584</v>
      </c>
      <c r="C177">
        <v>1</v>
      </c>
      <c r="D177">
        <v>10000</v>
      </c>
      <c r="E177">
        <v>10000</v>
      </c>
      <c r="F177">
        <v>3.9609999999999999</v>
      </c>
      <c r="G177">
        <v>4019</v>
      </c>
      <c r="H177">
        <v>8</v>
      </c>
      <c r="I177">
        <v>7</v>
      </c>
      <c r="J177">
        <v>-14</v>
      </c>
      <c r="K177">
        <v>-14</v>
      </c>
      <c r="L177">
        <v>1087</v>
      </c>
      <c r="M177">
        <v>1</v>
      </c>
      <c r="N177">
        <v>100</v>
      </c>
      <c r="O177" s="2" t="str" cm="1">
        <f t="array" ref="O17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77" s="2" t="str" cm="1">
        <f t="array" ref="P177">_xlfn.IFS(Computed_insight___Success_of_active_sellers__2[[#This Row],[rating]]&gt;=4.5, "Excellent ", Computed_insight___Success_of_active_sellers__2[[#This Row],[rating]]&gt;=4, "Good ", Computed_insight___Success_of_active_sellers__2[[#This Row],[rating]]&gt;=3.5, "Average", TRUE, "Poor ")</f>
        <v>Average</v>
      </c>
      <c r="Q177" s="2" t="str" cm="1">
        <f t="array" ref="Q17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77" s="2" t="str">
        <f>IF(Computed_insight___Success_of_active_sellers__2[[#This Row],[totalurgencycount]]&gt;0, "Has Banner", "No Banner")</f>
        <v>Has Banner</v>
      </c>
    </row>
    <row r="178" spans="1:18" x14ac:dyDescent="0.3">
      <c r="A178">
        <v>176</v>
      </c>
      <c r="B178" t="s">
        <v>234</v>
      </c>
      <c r="C178">
        <v>1</v>
      </c>
      <c r="D178">
        <v>10000</v>
      </c>
      <c r="E178">
        <v>10000</v>
      </c>
      <c r="F178">
        <v>3.9750000000000001</v>
      </c>
      <c r="G178">
        <v>19735</v>
      </c>
      <c r="H178">
        <v>5.77</v>
      </c>
      <c r="I178">
        <v>5</v>
      </c>
      <c r="J178">
        <v>-15</v>
      </c>
      <c r="K178">
        <v>-15</v>
      </c>
      <c r="L178">
        <v>2892</v>
      </c>
      <c r="O178" s="2" t="str" cm="1">
        <f t="array" ref="O17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78" s="2" t="str" cm="1">
        <f t="array" ref="P178">_xlfn.IFS(Computed_insight___Success_of_active_sellers__2[[#This Row],[rating]]&gt;=4.5, "Excellent ", Computed_insight___Success_of_active_sellers__2[[#This Row],[rating]]&gt;=4, "Good ", Computed_insight___Success_of_active_sellers__2[[#This Row],[rating]]&gt;=3.5, "Average", TRUE, "Poor ")</f>
        <v>Average</v>
      </c>
      <c r="Q178" s="2" t="str" cm="1">
        <f t="array" ref="Q17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78" s="2" t="str">
        <f>IF(Computed_insight___Success_of_active_sellers__2[[#This Row],[totalurgencycount]]&gt;0, "Has Banner", "No Banner")</f>
        <v>No Banner</v>
      </c>
    </row>
    <row r="179" spans="1:18" x14ac:dyDescent="0.3">
      <c r="A179">
        <v>177</v>
      </c>
      <c r="B179" t="s">
        <v>217</v>
      </c>
      <c r="C179">
        <v>1</v>
      </c>
      <c r="D179">
        <v>10000</v>
      </c>
      <c r="E179">
        <v>10000</v>
      </c>
      <c r="F179">
        <v>3.976</v>
      </c>
      <c r="G179">
        <v>33148</v>
      </c>
      <c r="H179">
        <v>8</v>
      </c>
      <c r="I179">
        <v>13</v>
      </c>
      <c r="J179">
        <v>39</v>
      </c>
      <c r="K179">
        <v>39</v>
      </c>
      <c r="L179">
        <v>2753</v>
      </c>
      <c r="O179" s="2" t="str" cm="1">
        <f t="array" ref="O17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79" s="2" t="str" cm="1">
        <f t="array" ref="P179">_xlfn.IFS(Computed_insight___Success_of_active_sellers__2[[#This Row],[rating]]&gt;=4.5, "Excellent ", Computed_insight___Success_of_active_sellers__2[[#This Row],[rating]]&gt;=4, "Good ", Computed_insight___Success_of_active_sellers__2[[#This Row],[rating]]&gt;=3.5, "Average", TRUE, "Poor ")</f>
        <v>Average</v>
      </c>
      <c r="Q179" s="2" t="str" cm="1">
        <f t="array" ref="Q179">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179" s="2" t="str">
        <f>IF(Computed_insight___Success_of_active_sellers__2[[#This Row],[totalurgencycount]]&gt;0, "Has Banner", "No Banner")</f>
        <v>No Banner</v>
      </c>
    </row>
    <row r="180" spans="1:18" x14ac:dyDescent="0.3">
      <c r="A180">
        <v>178</v>
      </c>
      <c r="B180" t="s">
        <v>207</v>
      </c>
      <c r="C180">
        <v>1</v>
      </c>
      <c r="D180">
        <v>10000</v>
      </c>
      <c r="E180">
        <v>10000</v>
      </c>
      <c r="F180">
        <v>3.9820000000000002</v>
      </c>
      <c r="G180">
        <v>3549</v>
      </c>
      <c r="H180">
        <v>5.78</v>
      </c>
      <c r="I180">
        <v>26</v>
      </c>
      <c r="J180">
        <v>78</v>
      </c>
      <c r="K180">
        <v>78</v>
      </c>
      <c r="L180">
        <v>1426</v>
      </c>
      <c r="O180" s="2" t="str" cm="1">
        <f t="array" ref="O18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80" s="2" t="str" cm="1">
        <f t="array" ref="P180">_xlfn.IFS(Computed_insight___Success_of_active_sellers__2[[#This Row],[rating]]&gt;=4.5, "Excellent ", Computed_insight___Success_of_active_sellers__2[[#This Row],[rating]]&gt;=4, "Good ", Computed_insight___Success_of_active_sellers__2[[#This Row],[rating]]&gt;=3.5, "Average", TRUE, "Poor ")</f>
        <v>Average</v>
      </c>
      <c r="Q180" s="2" t="str" cm="1">
        <f t="array" ref="Q18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80" s="2" t="str">
        <f>IF(Computed_insight___Success_of_active_sellers__2[[#This Row],[totalurgencycount]]&gt;0, "Has Banner", "No Banner")</f>
        <v>No Banner</v>
      </c>
    </row>
    <row r="181" spans="1:18" x14ac:dyDescent="0.3">
      <c r="A181">
        <v>179</v>
      </c>
      <c r="B181" t="s">
        <v>485</v>
      </c>
      <c r="C181">
        <v>1</v>
      </c>
      <c r="D181">
        <v>10000</v>
      </c>
      <c r="E181">
        <v>10000</v>
      </c>
      <c r="F181">
        <v>3.9820000000000002</v>
      </c>
      <c r="G181">
        <v>6818</v>
      </c>
      <c r="H181">
        <v>8</v>
      </c>
      <c r="I181">
        <v>7</v>
      </c>
      <c r="J181">
        <v>-14</v>
      </c>
      <c r="K181">
        <v>-14</v>
      </c>
      <c r="L181">
        <v>1649</v>
      </c>
      <c r="O181" s="2" t="str" cm="1">
        <f t="array" ref="O18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81" s="2" t="str" cm="1">
        <f t="array" ref="P181">_xlfn.IFS(Computed_insight___Success_of_active_sellers__2[[#This Row],[rating]]&gt;=4.5, "Excellent ", Computed_insight___Success_of_active_sellers__2[[#This Row],[rating]]&gt;=4, "Good ", Computed_insight___Success_of_active_sellers__2[[#This Row],[rating]]&gt;=3.5, "Average", TRUE, "Poor ")</f>
        <v>Average</v>
      </c>
      <c r="Q181" s="2" t="str" cm="1">
        <f t="array" ref="Q18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81" s="2" t="str">
        <f>IF(Computed_insight___Success_of_active_sellers__2[[#This Row],[totalurgencycount]]&gt;0, "Has Banner", "No Banner")</f>
        <v>No Banner</v>
      </c>
    </row>
    <row r="182" spans="1:18" x14ac:dyDescent="0.3">
      <c r="A182">
        <v>180</v>
      </c>
      <c r="B182" t="s">
        <v>442</v>
      </c>
      <c r="C182">
        <v>1</v>
      </c>
      <c r="D182">
        <v>10000</v>
      </c>
      <c r="E182">
        <v>10000</v>
      </c>
      <c r="F182">
        <v>3.9849999999999999</v>
      </c>
      <c r="G182">
        <v>19521</v>
      </c>
      <c r="H182">
        <v>12</v>
      </c>
      <c r="I182">
        <v>11</v>
      </c>
      <c r="J182">
        <v>-9</v>
      </c>
      <c r="K182">
        <v>-9</v>
      </c>
      <c r="L182">
        <v>3560</v>
      </c>
      <c r="M182">
        <v>1</v>
      </c>
      <c r="N182">
        <v>100</v>
      </c>
      <c r="O182" s="2" t="str" cm="1">
        <f t="array" ref="O18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82" s="2" t="str" cm="1">
        <f t="array" ref="P182">_xlfn.IFS(Computed_insight___Success_of_active_sellers__2[[#This Row],[rating]]&gt;=4.5, "Excellent ", Computed_insight___Success_of_active_sellers__2[[#This Row],[rating]]&gt;=4, "Good ", Computed_insight___Success_of_active_sellers__2[[#This Row],[rating]]&gt;=3.5, "Average", TRUE, "Poor ")</f>
        <v>Average</v>
      </c>
      <c r="Q182" s="2" t="str" cm="1">
        <f t="array" ref="Q18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82" s="2" t="str">
        <f>IF(Computed_insight___Success_of_active_sellers__2[[#This Row],[totalurgencycount]]&gt;0, "Has Banner", "No Banner")</f>
        <v>Has Banner</v>
      </c>
    </row>
    <row r="183" spans="1:18" x14ac:dyDescent="0.3">
      <c r="A183">
        <v>181</v>
      </c>
      <c r="B183" t="s">
        <v>680</v>
      </c>
      <c r="C183">
        <v>1</v>
      </c>
      <c r="D183">
        <v>10000</v>
      </c>
      <c r="E183">
        <v>10000</v>
      </c>
      <c r="F183">
        <v>3.988</v>
      </c>
      <c r="G183">
        <v>1987</v>
      </c>
      <c r="H183">
        <v>8</v>
      </c>
      <c r="I183">
        <v>9</v>
      </c>
      <c r="J183">
        <v>12</v>
      </c>
      <c r="K183">
        <v>12</v>
      </c>
      <c r="L183">
        <v>1316</v>
      </c>
      <c r="O183" s="2" t="str" cm="1">
        <f t="array" ref="O18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83" s="2" t="str" cm="1">
        <f t="array" ref="P183">_xlfn.IFS(Computed_insight___Success_of_active_sellers__2[[#This Row],[rating]]&gt;=4.5, "Excellent ", Computed_insight___Success_of_active_sellers__2[[#This Row],[rating]]&gt;=4, "Good ", Computed_insight___Success_of_active_sellers__2[[#This Row],[rating]]&gt;=3.5, "Average", TRUE, "Poor ")</f>
        <v>Average</v>
      </c>
      <c r="Q183" s="2" t="str" cm="1">
        <f t="array" ref="Q183">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183" s="2" t="str">
        <f>IF(Computed_insight___Success_of_active_sellers__2[[#This Row],[totalurgencycount]]&gt;0, "Has Banner", "No Banner")</f>
        <v>No Banner</v>
      </c>
    </row>
    <row r="184" spans="1:18" x14ac:dyDescent="0.3">
      <c r="A184">
        <v>182</v>
      </c>
      <c r="B184" t="s">
        <v>923</v>
      </c>
      <c r="C184">
        <v>1</v>
      </c>
      <c r="D184">
        <v>10000</v>
      </c>
      <c r="E184">
        <v>10000</v>
      </c>
      <c r="F184">
        <v>3.9950000000000001</v>
      </c>
      <c r="G184">
        <v>19879</v>
      </c>
      <c r="H184">
        <v>8</v>
      </c>
      <c r="I184">
        <v>8</v>
      </c>
      <c r="J184">
        <v>0</v>
      </c>
      <c r="K184">
        <v>0</v>
      </c>
      <c r="L184">
        <v>1858</v>
      </c>
      <c r="O184" s="2" t="str" cm="1">
        <f t="array" ref="O18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84" s="2" t="str" cm="1">
        <f t="array" ref="P184">_xlfn.IFS(Computed_insight___Success_of_active_sellers__2[[#This Row],[rating]]&gt;=4.5, "Excellent ", Computed_insight___Success_of_active_sellers__2[[#This Row],[rating]]&gt;=4, "Good ", Computed_insight___Success_of_active_sellers__2[[#This Row],[rating]]&gt;=3.5, "Average", TRUE, "Poor ")</f>
        <v>Average</v>
      </c>
      <c r="Q184" s="2" t="str" cm="1">
        <f t="array" ref="Q18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84" s="2" t="str">
        <f>IF(Computed_insight___Success_of_active_sellers__2[[#This Row],[totalurgencycount]]&gt;0, "Has Banner", "No Banner")</f>
        <v>No Banner</v>
      </c>
    </row>
    <row r="185" spans="1:18" x14ac:dyDescent="0.3">
      <c r="A185">
        <v>183</v>
      </c>
      <c r="B185" t="s">
        <v>252</v>
      </c>
      <c r="C185">
        <v>1</v>
      </c>
      <c r="D185">
        <v>10000</v>
      </c>
      <c r="E185">
        <v>10000</v>
      </c>
      <c r="F185">
        <v>4.0179999999999998</v>
      </c>
      <c r="G185">
        <v>23465</v>
      </c>
      <c r="H185">
        <v>5.65</v>
      </c>
      <c r="I185">
        <v>25</v>
      </c>
      <c r="J185">
        <v>78</v>
      </c>
      <c r="K185">
        <v>78</v>
      </c>
      <c r="L185">
        <v>418</v>
      </c>
      <c r="O185" s="2" t="str" cm="1">
        <f t="array" ref="O18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85" s="2" t="str" cm="1">
        <f t="array" ref="P185">_xlfn.IFS(Computed_insight___Success_of_active_sellers__2[[#This Row],[rating]]&gt;=4.5, "Excellent ", Computed_insight___Success_of_active_sellers__2[[#This Row],[rating]]&gt;=4, "Good ", Computed_insight___Success_of_active_sellers__2[[#This Row],[rating]]&gt;=3.5, "Average", TRUE, "Poor ")</f>
        <v xml:space="preserve">Good </v>
      </c>
      <c r="Q185" s="2" t="str" cm="1">
        <f t="array" ref="Q18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85" s="2" t="str">
        <f>IF(Computed_insight___Success_of_active_sellers__2[[#This Row],[totalurgencycount]]&gt;0, "Has Banner", "No Banner")</f>
        <v>No Banner</v>
      </c>
    </row>
    <row r="186" spans="1:18" x14ac:dyDescent="0.3">
      <c r="A186">
        <v>184</v>
      </c>
      <c r="B186" t="s">
        <v>262</v>
      </c>
      <c r="C186">
        <v>1</v>
      </c>
      <c r="D186">
        <v>10000</v>
      </c>
      <c r="E186">
        <v>10000</v>
      </c>
      <c r="F186">
        <v>4.0250000000000004</v>
      </c>
      <c r="G186">
        <v>23485</v>
      </c>
      <c r="H186">
        <v>8</v>
      </c>
      <c r="I186">
        <v>118</v>
      </c>
      <c r="J186">
        <v>94</v>
      </c>
      <c r="K186">
        <v>94</v>
      </c>
      <c r="L186">
        <v>2519</v>
      </c>
      <c r="O186" s="2" t="str" cm="1">
        <f t="array" ref="O18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86" s="2" t="str" cm="1">
        <f t="array" ref="P186">_xlfn.IFS(Computed_insight___Success_of_active_sellers__2[[#This Row],[rating]]&gt;=4.5, "Excellent ", Computed_insight___Success_of_active_sellers__2[[#This Row],[rating]]&gt;=4, "Good ", Computed_insight___Success_of_active_sellers__2[[#This Row],[rating]]&gt;=3.5, "Average", TRUE, "Poor ")</f>
        <v xml:space="preserve">Good </v>
      </c>
      <c r="Q186" s="2" t="str" cm="1">
        <f t="array" ref="Q18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86" s="2" t="str">
        <f>IF(Computed_insight___Success_of_active_sellers__2[[#This Row],[totalurgencycount]]&gt;0, "Has Banner", "No Banner")</f>
        <v>No Banner</v>
      </c>
    </row>
    <row r="187" spans="1:18" x14ac:dyDescent="0.3">
      <c r="A187">
        <v>185</v>
      </c>
      <c r="B187" t="s">
        <v>840</v>
      </c>
      <c r="C187">
        <v>1</v>
      </c>
      <c r="D187">
        <v>10000</v>
      </c>
      <c r="E187">
        <v>10000</v>
      </c>
      <c r="F187">
        <v>4.0259999999999998</v>
      </c>
      <c r="G187">
        <v>14284</v>
      </c>
      <c r="H187">
        <v>11</v>
      </c>
      <c r="I187">
        <v>10</v>
      </c>
      <c r="J187">
        <v>-10</v>
      </c>
      <c r="K187">
        <v>-10</v>
      </c>
      <c r="L187">
        <v>2102</v>
      </c>
      <c r="O187" s="2" t="str" cm="1">
        <f t="array" ref="O18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87" s="2" t="str" cm="1">
        <f t="array" ref="P187">_xlfn.IFS(Computed_insight___Success_of_active_sellers__2[[#This Row],[rating]]&gt;=4.5, "Excellent ", Computed_insight___Success_of_active_sellers__2[[#This Row],[rating]]&gt;=4, "Good ", Computed_insight___Success_of_active_sellers__2[[#This Row],[rating]]&gt;=3.5, "Average", TRUE, "Poor ")</f>
        <v xml:space="preserve">Good </v>
      </c>
      <c r="Q187" s="2" t="str" cm="1">
        <f t="array" ref="Q18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87" s="2" t="str">
        <f>IF(Computed_insight___Success_of_active_sellers__2[[#This Row],[totalurgencycount]]&gt;0, "Has Banner", "No Banner")</f>
        <v>No Banner</v>
      </c>
    </row>
    <row r="188" spans="1:18" x14ac:dyDescent="0.3">
      <c r="A188">
        <v>186</v>
      </c>
      <c r="B188" t="s">
        <v>317</v>
      </c>
      <c r="C188">
        <v>1</v>
      </c>
      <c r="D188">
        <v>10000</v>
      </c>
      <c r="E188">
        <v>10000</v>
      </c>
      <c r="F188">
        <v>4.0330000000000004</v>
      </c>
      <c r="G188">
        <v>55089</v>
      </c>
      <c r="H188">
        <v>6</v>
      </c>
      <c r="I188">
        <v>9</v>
      </c>
      <c r="J188">
        <v>34</v>
      </c>
      <c r="K188">
        <v>34</v>
      </c>
      <c r="L188">
        <v>2211</v>
      </c>
      <c r="O188" s="2" t="str" cm="1">
        <f t="array" ref="O18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88" s="2" t="str" cm="1">
        <f t="array" ref="P188">_xlfn.IFS(Computed_insight___Success_of_active_sellers__2[[#This Row],[rating]]&gt;=4.5, "Excellent ", Computed_insight___Success_of_active_sellers__2[[#This Row],[rating]]&gt;=4, "Good ", Computed_insight___Success_of_active_sellers__2[[#This Row],[rating]]&gt;=3.5, "Average", TRUE, "Poor ")</f>
        <v xml:space="preserve">Good </v>
      </c>
      <c r="Q188" s="2" t="str" cm="1">
        <f t="array" ref="Q188">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188" s="2" t="str">
        <f>IF(Computed_insight___Success_of_active_sellers__2[[#This Row],[totalurgencycount]]&gt;0, "Has Banner", "No Banner")</f>
        <v>No Banner</v>
      </c>
    </row>
    <row r="189" spans="1:18" x14ac:dyDescent="0.3">
      <c r="A189">
        <v>187</v>
      </c>
      <c r="B189" t="s">
        <v>561</v>
      </c>
      <c r="C189">
        <v>1</v>
      </c>
      <c r="D189">
        <v>10000</v>
      </c>
      <c r="E189">
        <v>10000</v>
      </c>
      <c r="F189">
        <v>4.0529999999999999</v>
      </c>
      <c r="G189">
        <v>7356</v>
      </c>
      <c r="H189">
        <v>8</v>
      </c>
      <c r="I189">
        <v>7</v>
      </c>
      <c r="J189">
        <v>-14</v>
      </c>
      <c r="K189">
        <v>-14</v>
      </c>
      <c r="L189">
        <v>1312</v>
      </c>
      <c r="M189">
        <v>1</v>
      </c>
      <c r="N189">
        <v>100</v>
      </c>
      <c r="O189" s="2" t="str" cm="1">
        <f t="array" ref="O18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89" s="2" t="str" cm="1">
        <f t="array" ref="P189">_xlfn.IFS(Computed_insight___Success_of_active_sellers__2[[#This Row],[rating]]&gt;=4.5, "Excellent ", Computed_insight___Success_of_active_sellers__2[[#This Row],[rating]]&gt;=4, "Good ", Computed_insight___Success_of_active_sellers__2[[#This Row],[rating]]&gt;=3.5, "Average", TRUE, "Poor ")</f>
        <v xml:space="preserve">Good </v>
      </c>
      <c r="Q189" s="2" t="str" cm="1">
        <f t="array" ref="Q18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89" s="2" t="str">
        <f>IF(Computed_insight___Success_of_active_sellers__2[[#This Row],[totalurgencycount]]&gt;0, "Has Banner", "No Banner")</f>
        <v>Has Banner</v>
      </c>
    </row>
    <row r="190" spans="1:18" x14ac:dyDescent="0.3">
      <c r="A190">
        <v>188</v>
      </c>
      <c r="B190" t="s">
        <v>315</v>
      </c>
      <c r="C190">
        <v>1</v>
      </c>
      <c r="D190">
        <v>10000</v>
      </c>
      <c r="E190">
        <v>10000</v>
      </c>
      <c r="F190">
        <v>4.0540000000000003</v>
      </c>
      <c r="G190">
        <v>7544</v>
      </c>
      <c r="H190">
        <v>5.68</v>
      </c>
      <c r="I190">
        <v>7</v>
      </c>
      <c r="J190">
        <v>19</v>
      </c>
      <c r="K190">
        <v>19</v>
      </c>
      <c r="L190">
        <v>1232</v>
      </c>
      <c r="O190" s="2" t="str" cm="1">
        <f t="array" ref="O19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90" s="2" t="str" cm="1">
        <f t="array" ref="P190">_xlfn.IFS(Computed_insight___Success_of_active_sellers__2[[#This Row],[rating]]&gt;=4.5, "Excellent ", Computed_insight___Success_of_active_sellers__2[[#This Row],[rating]]&gt;=4, "Good ", Computed_insight___Success_of_active_sellers__2[[#This Row],[rating]]&gt;=3.5, "Average", TRUE, "Poor ")</f>
        <v xml:space="preserve">Good </v>
      </c>
      <c r="Q190" s="2" t="str" cm="1">
        <f t="array" ref="Q190">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190" s="2" t="str">
        <f>IF(Computed_insight___Success_of_active_sellers__2[[#This Row],[totalurgencycount]]&gt;0, "Has Banner", "No Banner")</f>
        <v>No Banner</v>
      </c>
    </row>
    <row r="191" spans="1:18" x14ac:dyDescent="0.3">
      <c r="A191">
        <v>189</v>
      </c>
      <c r="B191" t="s">
        <v>927</v>
      </c>
      <c r="C191">
        <v>1</v>
      </c>
      <c r="D191">
        <v>10000</v>
      </c>
      <c r="E191">
        <v>10000</v>
      </c>
      <c r="F191">
        <v>4.0549999999999997</v>
      </c>
      <c r="G191">
        <v>5993</v>
      </c>
      <c r="H191">
        <v>6</v>
      </c>
      <c r="I191">
        <v>7</v>
      </c>
      <c r="J191">
        <v>15</v>
      </c>
      <c r="K191">
        <v>15</v>
      </c>
      <c r="L191">
        <v>1238</v>
      </c>
      <c r="M191">
        <v>1</v>
      </c>
      <c r="N191">
        <v>100</v>
      </c>
      <c r="O191" s="2" t="str" cm="1">
        <f t="array" ref="O19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91" s="2" t="str" cm="1">
        <f t="array" ref="P191">_xlfn.IFS(Computed_insight___Success_of_active_sellers__2[[#This Row],[rating]]&gt;=4.5, "Excellent ", Computed_insight___Success_of_active_sellers__2[[#This Row],[rating]]&gt;=4, "Good ", Computed_insight___Success_of_active_sellers__2[[#This Row],[rating]]&gt;=3.5, "Average", TRUE, "Poor ")</f>
        <v xml:space="preserve">Good </v>
      </c>
      <c r="Q191" s="2" t="str" cm="1">
        <f t="array" ref="Q191">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191" s="2" t="str">
        <f>IF(Computed_insight___Success_of_active_sellers__2[[#This Row],[totalurgencycount]]&gt;0, "Has Banner", "No Banner")</f>
        <v>Has Banner</v>
      </c>
    </row>
    <row r="192" spans="1:18" x14ac:dyDescent="0.3">
      <c r="A192">
        <v>190</v>
      </c>
      <c r="B192" t="s">
        <v>677</v>
      </c>
      <c r="C192">
        <v>1</v>
      </c>
      <c r="D192">
        <v>10000</v>
      </c>
      <c r="E192">
        <v>10000</v>
      </c>
      <c r="F192">
        <v>4.0659999999999998</v>
      </c>
      <c r="G192">
        <v>34311</v>
      </c>
      <c r="H192">
        <v>7</v>
      </c>
      <c r="I192">
        <v>6</v>
      </c>
      <c r="J192">
        <v>-16</v>
      </c>
      <c r="K192">
        <v>-16</v>
      </c>
      <c r="L192">
        <v>2483</v>
      </c>
      <c r="O192" s="2" t="str" cm="1">
        <f t="array" ref="O19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92" s="2" t="str" cm="1">
        <f t="array" ref="P192">_xlfn.IFS(Computed_insight___Success_of_active_sellers__2[[#This Row],[rating]]&gt;=4.5, "Excellent ", Computed_insight___Success_of_active_sellers__2[[#This Row],[rating]]&gt;=4, "Good ", Computed_insight___Success_of_active_sellers__2[[#This Row],[rating]]&gt;=3.5, "Average", TRUE, "Poor ")</f>
        <v xml:space="preserve">Good </v>
      </c>
      <c r="Q192" s="2" t="str" cm="1">
        <f t="array" ref="Q19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92" s="2" t="str">
        <f>IF(Computed_insight___Success_of_active_sellers__2[[#This Row],[totalurgencycount]]&gt;0, "Has Banner", "No Banner")</f>
        <v>No Banner</v>
      </c>
    </row>
    <row r="193" spans="1:18" x14ac:dyDescent="0.3">
      <c r="A193">
        <v>191</v>
      </c>
      <c r="B193" t="s">
        <v>495</v>
      </c>
      <c r="C193">
        <v>1</v>
      </c>
      <c r="D193">
        <v>10000</v>
      </c>
      <c r="E193">
        <v>10000</v>
      </c>
      <c r="F193">
        <v>4.0709999999999997</v>
      </c>
      <c r="G193">
        <v>27719</v>
      </c>
      <c r="H193">
        <v>14</v>
      </c>
      <c r="I193">
        <v>75</v>
      </c>
      <c r="J193">
        <v>82</v>
      </c>
      <c r="K193">
        <v>82</v>
      </c>
      <c r="L193">
        <v>2514</v>
      </c>
      <c r="O193" s="2" t="str" cm="1">
        <f t="array" ref="O19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93" s="2" t="str" cm="1">
        <f t="array" ref="P193">_xlfn.IFS(Computed_insight___Success_of_active_sellers__2[[#This Row],[rating]]&gt;=4.5, "Excellent ", Computed_insight___Success_of_active_sellers__2[[#This Row],[rating]]&gt;=4, "Good ", Computed_insight___Success_of_active_sellers__2[[#This Row],[rating]]&gt;=3.5, "Average", TRUE, "Poor ")</f>
        <v xml:space="preserve">Good </v>
      </c>
      <c r="Q193" s="2" t="str" cm="1">
        <f t="array" ref="Q19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93" s="2" t="str">
        <f>IF(Computed_insight___Success_of_active_sellers__2[[#This Row],[totalurgencycount]]&gt;0, "Has Banner", "No Banner")</f>
        <v>No Banner</v>
      </c>
    </row>
    <row r="194" spans="1:18" x14ac:dyDescent="0.3">
      <c r="A194">
        <v>192</v>
      </c>
      <c r="B194" t="s">
        <v>814</v>
      </c>
      <c r="C194">
        <v>1</v>
      </c>
      <c r="D194">
        <v>10000</v>
      </c>
      <c r="E194">
        <v>10000</v>
      </c>
      <c r="F194">
        <v>4.0739999999999998</v>
      </c>
      <c r="G194">
        <v>10665</v>
      </c>
      <c r="H194">
        <v>6</v>
      </c>
      <c r="I194">
        <v>8</v>
      </c>
      <c r="J194">
        <v>25</v>
      </c>
      <c r="K194">
        <v>25</v>
      </c>
      <c r="L194">
        <v>1010</v>
      </c>
      <c r="M194">
        <v>1</v>
      </c>
      <c r="N194">
        <v>100</v>
      </c>
      <c r="O194" s="2" t="str" cm="1">
        <f t="array" ref="O19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94" s="2" t="str" cm="1">
        <f t="array" ref="P194">_xlfn.IFS(Computed_insight___Success_of_active_sellers__2[[#This Row],[rating]]&gt;=4.5, "Excellent ", Computed_insight___Success_of_active_sellers__2[[#This Row],[rating]]&gt;=4, "Good ", Computed_insight___Success_of_active_sellers__2[[#This Row],[rating]]&gt;=3.5, "Average", TRUE, "Poor ")</f>
        <v xml:space="preserve">Good </v>
      </c>
      <c r="Q194" s="2" t="str" cm="1">
        <f t="array" ref="Q194">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194" s="2" t="str">
        <f>IF(Computed_insight___Success_of_active_sellers__2[[#This Row],[totalurgencycount]]&gt;0, "Has Banner", "No Banner")</f>
        <v>Has Banner</v>
      </c>
    </row>
    <row r="195" spans="1:18" x14ac:dyDescent="0.3">
      <c r="A195">
        <v>193</v>
      </c>
      <c r="B195" t="s">
        <v>875</v>
      </c>
      <c r="C195">
        <v>1</v>
      </c>
      <c r="D195">
        <v>10000</v>
      </c>
      <c r="E195">
        <v>10000</v>
      </c>
      <c r="F195">
        <v>4.077</v>
      </c>
      <c r="G195">
        <v>13399</v>
      </c>
      <c r="H195">
        <v>8</v>
      </c>
      <c r="I195">
        <v>7</v>
      </c>
      <c r="J195">
        <v>-14</v>
      </c>
      <c r="K195">
        <v>-14</v>
      </c>
      <c r="L195">
        <v>2604</v>
      </c>
      <c r="M195">
        <v>1</v>
      </c>
      <c r="N195">
        <v>100</v>
      </c>
      <c r="O195" s="2" t="str" cm="1">
        <f t="array" ref="O19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95" s="2" t="str" cm="1">
        <f t="array" ref="P195">_xlfn.IFS(Computed_insight___Success_of_active_sellers__2[[#This Row],[rating]]&gt;=4.5, "Excellent ", Computed_insight___Success_of_active_sellers__2[[#This Row],[rating]]&gt;=4, "Good ", Computed_insight___Success_of_active_sellers__2[[#This Row],[rating]]&gt;=3.5, "Average", TRUE, "Poor ")</f>
        <v xml:space="preserve">Good </v>
      </c>
      <c r="Q195" s="2" t="str" cm="1">
        <f t="array" ref="Q19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95" s="2" t="str">
        <f>IF(Computed_insight___Success_of_active_sellers__2[[#This Row],[totalurgencycount]]&gt;0, "Has Banner", "No Banner")</f>
        <v>Has Banner</v>
      </c>
    </row>
    <row r="196" spans="1:18" x14ac:dyDescent="0.3">
      <c r="A196">
        <v>194</v>
      </c>
      <c r="B196" t="s">
        <v>532</v>
      </c>
      <c r="C196">
        <v>1</v>
      </c>
      <c r="D196">
        <v>10000</v>
      </c>
      <c r="E196">
        <v>10000</v>
      </c>
      <c r="F196">
        <v>4.0789999999999997</v>
      </c>
      <c r="G196">
        <v>12004</v>
      </c>
      <c r="H196">
        <v>9</v>
      </c>
      <c r="I196">
        <v>8</v>
      </c>
      <c r="J196">
        <v>-12</v>
      </c>
      <c r="K196">
        <v>-12</v>
      </c>
      <c r="L196">
        <v>3101</v>
      </c>
      <c r="O196" s="2" t="str" cm="1">
        <f t="array" ref="O19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96" s="2" t="str" cm="1">
        <f t="array" ref="P196">_xlfn.IFS(Computed_insight___Success_of_active_sellers__2[[#This Row],[rating]]&gt;=4.5, "Excellent ", Computed_insight___Success_of_active_sellers__2[[#This Row],[rating]]&gt;=4, "Good ", Computed_insight___Success_of_active_sellers__2[[#This Row],[rating]]&gt;=3.5, "Average", TRUE, "Poor ")</f>
        <v xml:space="preserve">Good </v>
      </c>
      <c r="Q196" s="2" t="str" cm="1">
        <f t="array" ref="Q19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96" s="2" t="str">
        <f>IF(Computed_insight___Success_of_active_sellers__2[[#This Row],[totalurgencycount]]&gt;0, "Has Banner", "No Banner")</f>
        <v>No Banner</v>
      </c>
    </row>
    <row r="197" spans="1:18" x14ac:dyDescent="0.3">
      <c r="A197">
        <v>195</v>
      </c>
      <c r="B197" t="s">
        <v>377</v>
      </c>
      <c r="C197">
        <v>1</v>
      </c>
      <c r="D197">
        <v>10000</v>
      </c>
      <c r="E197">
        <v>10000</v>
      </c>
      <c r="F197">
        <v>4.085</v>
      </c>
      <c r="G197">
        <v>6651</v>
      </c>
      <c r="H197">
        <v>8</v>
      </c>
      <c r="I197">
        <v>22</v>
      </c>
      <c r="J197">
        <v>64</v>
      </c>
      <c r="K197">
        <v>64</v>
      </c>
      <c r="L197">
        <v>904</v>
      </c>
      <c r="M197">
        <v>1</v>
      </c>
      <c r="N197">
        <v>100</v>
      </c>
      <c r="O197" s="2" t="str" cm="1">
        <f t="array" ref="O19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97" s="2" t="str" cm="1">
        <f t="array" ref="P197">_xlfn.IFS(Computed_insight___Success_of_active_sellers__2[[#This Row],[rating]]&gt;=4.5, "Excellent ", Computed_insight___Success_of_active_sellers__2[[#This Row],[rating]]&gt;=4, "Good ", Computed_insight___Success_of_active_sellers__2[[#This Row],[rating]]&gt;=3.5, "Average", TRUE, "Poor ")</f>
        <v xml:space="preserve">Good </v>
      </c>
      <c r="Q197" s="2" t="str" cm="1">
        <f t="array" ref="Q19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197" s="2" t="str">
        <f>IF(Computed_insight___Success_of_active_sellers__2[[#This Row],[totalurgencycount]]&gt;0, "Has Banner", "No Banner")</f>
        <v>Has Banner</v>
      </c>
    </row>
    <row r="198" spans="1:18" x14ac:dyDescent="0.3">
      <c r="A198">
        <v>196</v>
      </c>
      <c r="B198" t="s">
        <v>411</v>
      </c>
      <c r="C198">
        <v>1</v>
      </c>
      <c r="D198">
        <v>10000</v>
      </c>
      <c r="E198">
        <v>10000</v>
      </c>
      <c r="F198">
        <v>4.0880000000000001</v>
      </c>
      <c r="G198">
        <v>117487</v>
      </c>
      <c r="H198">
        <v>12</v>
      </c>
      <c r="I198">
        <v>13</v>
      </c>
      <c r="J198">
        <v>8</v>
      </c>
      <c r="K198">
        <v>8</v>
      </c>
      <c r="L198">
        <v>893</v>
      </c>
      <c r="O198" s="2" t="str" cm="1">
        <f t="array" ref="O19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98" s="2" t="str" cm="1">
        <f t="array" ref="P198">_xlfn.IFS(Computed_insight___Success_of_active_sellers__2[[#This Row],[rating]]&gt;=4.5, "Excellent ", Computed_insight___Success_of_active_sellers__2[[#This Row],[rating]]&gt;=4, "Good ", Computed_insight___Success_of_active_sellers__2[[#This Row],[rating]]&gt;=3.5, "Average", TRUE, "Poor ")</f>
        <v xml:space="preserve">Good </v>
      </c>
      <c r="Q198" s="2" t="str" cm="1">
        <f t="array" ref="Q198">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198" s="2" t="str">
        <f>IF(Computed_insight___Success_of_active_sellers__2[[#This Row],[totalurgencycount]]&gt;0, "Has Banner", "No Banner")</f>
        <v>No Banner</v>
      </c>
    </row>
    <row r="199" spans="1:18" x14ac:dyDescent="0.3">
      <c r="A199">
        <v>197</v>
      </c>
      <c r="B199" t="s">
        <v>389</v>
      </c>
      <c r="C199">
        <v>1</v>
      </c>
      <c r="D199">
        <v>10000</v>
      </c>
      <c r="E199">
        <v>10000</v>
      </c>
      <c r="F199">
        <v>4.101</v>
      </c>
      <c r="G199">
        <v>11264</v>
      </c>
      <c r="H199">
        <v>7</v>
      </c>
      <c r="I199">
        <v>6</v>
      </c>
      <c r="J199">
        <v>-16</v>
      </c>
      <c r="K199">
        <v>-16</v>
      </c>
      <c r="L199">
        <v>3078</v>
      </c>
      <c r="O199" s="2" t="str" cm="1">
        <f t="array" ref="O19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199" s="2" t="str" cm="1">
        <f t="array" ref="P199">_xlfn.IFS(Computed_insight___Success_of_active_sellers__2[[#This Row],[rating]]&gt;=4.5, "Excellent ", Computed_insight___Success_of_active_sellers__2[[#This Row],[rating]]&gt;=4, "Good ", Computed_insight___Success_of_active_sellers__2[[#This Row],[rating]]&gt;=3.5, "Average", TRUE, "Poor ")</f>
        <v xml:space="preserve">Good </v>
      </c>
      <c r="Q199" s="2" t="str" cm="1">
        <f t="array" ref="Q19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199" s="2" t="str">
        <f>IF(Computed_insight___Success_of_active_sellers__2[[#This Row],[totalurgencycount]]&gt;0, "Has Banner", "No Banner")</f>
        <v>No Banner</v>
      </c>
    </row>
    <row r="200" spans="1:18" x14ac:dyDescent="0.3">
      <c r="A200">
        <v>198</v>
      </c>
      <c r="B200" t="s">
        <v>329</v>
      </c>
      <c r="C200">
        <v>1</v>
      </c>
      <c r="D200">
        <v>10000</v>
      </c>
      <c r="E200">
        <v>10000</v>
      </c>
      <c r="F200">
        <v>4.1050000000000004</v>
      </c>
      <c r="G200">
        <v>2399</v>
      </c>
      <c r="H200">
        <v>1.91</v>
      </c>
      <c r="I200">
        <v>2</v>
      </c>
      <c r="J200">
        <v>5</v>
      </c>
      <c r="K200">
        <v>5</v>
      </c>
      <c r="L200">
        <v>697</v>
      </c>
      <c r="O200" s="2" t="str" cm="1">
        <f t="array" ref="O20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00" s="2" t="str" cm="1">
        <f t="array" ref="P200">_xlfn.IFS(Computed_insight___Success_of_active_sellers__2[[#This Row],[rating]]&gt;=4.5, "Excellent ", Computed_insight___Success_of_active_sellers__2[[#This Row],[rating]]&gt;=4, "Good ", Computed_insight___Success_of_active_sellers__2[[#This Row],[rating]]&gt;=3.5, "Average", TRUE, "Poor ")</f>
        <v xml:space="preserve">Good </v>
      </c>
      <c r="Q200" s="2" t="str" cm="1">
        <f t="array" ref="Q200">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200" s="2" t="str">
        <f>IF(Computed_insight___Success_of_active_sellers__2[[#This Row],[totalurgencycount]]&gt;0, "Has Banner", "No Banner")</f>
        <v>No Banner</v>
      </c>
    </row>
    <row r="201" spans="1:18" x14ac:dyDescent="0.3">
      <c r="A201">
        <v>199</v>
      </c>
      <c r="B201" t="s">
        <v>899</v>
      </c>
      <c r="C201">
        <v>1</v>
      </c>
      <c r="D201">
        <v>10000</v>
      </c>
      <c r="E201">
        <v>10000</v>
      </c>
      <c r="F201">
        <v>4.109</v>
      </c>
      <c r="G201">
        <v>19436</v>
      </c>
      <c r="H201">
        <v>11</v>
      </c>
      <c r="I201">
        <v>10</v>
      </c>
      <c r="J201">
        <v>-10</v>
      </c>
      <c r="K201">
        <v>-10</v>
      </c>
      <c r="L201">
        <v>1780</v>
      </c>
      <c r="O201" s="2" t="str" cm="1">
        <f t="array" ref="O20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01" s="2" t="str" cm="1">
        <f t="array" ref="P201">_xlfn.IFS(Computed_insight___Success_of_active_sellers__2[[#This Row],[rating]]&gt;=4.5, "Excellent ", Computed_insight___Success_of_active_sellers__2[[#This Row],[rating]]&gt;=4, "Good ", Computed_insight___Success_of_active_sellers__2[[#This Row],[rating]]&gt;=3.5, "Average", TRUE, "Poor ")</f>
        <v xml:space="preserve">Good </v>
      </c>
      <c r="Q201" s="2" t="str" cm="1">
        <f t="array" ref="Q20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01" s="2" t="str">
        <f>IF(Computed_insight___Success_of_active_sellers__2[[#This Row],[totalurgencycount]]&gt;0, "Has Banner", "No Banner")</f>
        <v>No Banner</v>
      </c>
    </row>
    <row r="202" spans="1:18" x14ac:dyDescent="0.3">
      <c r="A202">
        <v>200</v>
      </c>
      <c r="B202" t="s">
        <v>853</v>
      </c>
      <c r="C202">
        <v>1</v>
      </c>
      <c r="D202">
        <v>10000</v>
      </c>
      <c r="E202">
        <v>10000</v>
      </c>
      <c r="F202">
        <v>4.1150000000000002</v>
      </c>
      <c r="G202">
        <v>15502</v>
      </c>
      <c r="H202">
        <v>11</v>
      </c>
      <c r="I202">
        <v>43</v>
      </c>
      <c r="J202">
        <v>75</v>
      </c>
      <c r="K202">
        <v>75</v>
      </c>
      <c r="L202">
        <v>2521</v>
      </c>
      <c r="O202" s="2" t="str" cm="1">
        <f t="array" ref="O20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02" s="2" t="str" cm="1">
        <f t="array" ref="P202">_xlfn.IFS(Computed_insight___Success_of_active_sellers__2[[#This Row],[rating]]&gt;=4.5, "Excellent ", Computed_insight___Success_of_active_sellers__2[[#This Row],[rating]]&gt;=4, "Good ", Computed_insight___Success_of_active_sellers__2[[#This Row],[rating]]&gt;=3.5, "Average", TRUE, "Poor ")</f>
        <v xml:space="preserve">Good </v>
      </c>
      <c r="Q202" s="2" t="str" cm="1">
        <f t="array" ref="Q20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02" s="2" t="str">
        <f>IF(Computed_insight___Success_of_active_sellers__2[[#This Row],[totalurgencycount]]&gt;0, "Has Banner", "No Banner")</f>
        <v>No Banner</v>
      </c>
    </row>
    <row r="203" spans="1:18" x14ac:dyDescent="0.3">
      <c r="A203">
        <v>201</v>
      </c>
      <c r="B203" t="s">
        <v>950</v>
      </c>
      <c r="C203">
        <v>1</v>
      </c>
      <c r="D203">
        <v>10000</v>
      </c>
      <c r="E203">
        <v>10000</v>
      </c>
      <c r="F203">
        <v>4.1219999999999999</v>
      </c>
      <c r="G203">
        <v>9325</v>
      </c>
      <c r="H203">
        <v>11</v>
      </c>
      <c r="I203">
        <v>12</v>
      </c>
      <c r="J203">
        <v>9</v>
      </c>
      <c r="K203">
        <v>9</v>
      </c>
      <c r="L203">
        <v>666</v>
      </c>
      <c r="O203" s="2" t="str" cm="1">
        <f t="array" ref="O20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03" s="2" t="str" cm="1">
        <f t="array" ref="P203">_xlfn.IFS(Computed_insight___Success_of_active_sellers__2[[#This Row],[rating]]&gt;=4.5, "Excellent ", Computed_insight___Success_of_active_sellers__2[[#This Row],[rating]]&gt;=4, "Good ", Computed_insight___Success_of_active_sellers__2[[#This Row],[rating]]&gt;=3.5, "Average", TRUE, "Poor ")</f>
        <v xml:space="preserve">Good </v>
      </c>
      <c r="Q203" s="2" t="str" cm="1">
        <f t="array" ref="Q203">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203" s="2" t="str">
        <f>IF(Computed_insight___Success_of_active_sellers__2[[#This Row],[totalurgencycount]]&gt;0, "Has Banner", "No Banner")</f>
        <v>No Banner</v>
      </c>
    </row>
    <row r="204" spans="1:18" x14ac:dyDescent="0.3">
      <c r="A204">
        <v>202</v>
      </c>
      <c r="B204" t="s">
        <v>665</v>
      </c>
      <c r="C204">
        <v>1</v>
      </c>
      <c r="D204">
        <v>10000</v>
      </c>
      <c r="E204">
        <v>10000</v>
      </c>
      <c r="F204">
        <v>4.1230000000000002</v>
      </c>
      <c r="G204">
        <v>31559</v>
      </c>
      <c r="H204">
        <v>6</v>
      </c>
      <c r="I204">
        <v>142</v>
      </c>
      <c r="J204">
        <v>96</v>
      </c>
      <c r="K204">
        <v>96</v>
      </c>
      <c r="L204">
        <v>1941</v>
      </c>
      <c r="O204" s="2" t="str" cm="1">
        <f t="array" ref="O20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04" s="2" t="str" cm="1">
        <f t="array" ref="P204">_xlfn.IFS(Computed_insight___Success_of_active_sellers__2[[#This Row],[rating]]&gt;=4.5, "Excellent ", Computed_insight___Success_of_active_sellers__2[[#This Row],[rating]]&gt;=4, "Good ", Computed_insight___Success_of_active_sellers__2[[#This Row],[rating]]&gt;=3.5, "Average", TRUE, "Poor ")</f>
        <v xml:space="preserve">Good </v>
      </c>
      <c r="Q204" s="2" t="str" cm="1">
        <f t="array" ref="Q20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04" s="2" t="str">
        <f>IF(Computed_insight___Success_of_active_sellers__2[[#This Row],[totalurgencycount]]&gt;0, "Has Banner", "No Banner")</f>
        <v>No Banner</v>
      </c>
    </row>
    <row r="205" spans="1:18" x14ac:dyDescent="0.3">
      <c r="A205">
        <v>203</v>
      </c>
      <c r="B205" t="s">
        <v>298</v>
      </c>
      <c r="C205">
        <v>1</v>
      </c>
      <c r="D205">
        <v>10000</v>
      </c>
      <c r="E205">
        <v>10000</v>
      </c>
      <c r="F205">
        <v>4.125</v>
      </c>
      <c r="G205">
        <v>9938</v>
      </c>
      <c r="H205">
        <v>7</v>
      </c>
      <c r="I205">
        <v>6</v>
      </c>
      <c r="J205">
        <v>-16</v>
      </c>
      <c r="K205">
        <v>-16</v>
      </c>
      <c r="L205">
        <v>1797</v>
      </c>
      <c r="O205" s="2" t="str" cm="1">
        <f t="array" ref="O20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05" s="2" t="str" cm="1">
        <f t="array" ref="P205">_xlfn.IFS(Computed_insight___Success_of_active_sellers__2[[#This Row],[rating]]&gt;=4.5, "Excellent ", Computed_insight___Success_of_active_sellers__2[[#This Row],[rating]]&gt;=4, "Good ", Computed_insight___Success_of_active_sellers__2[[#This Row],[rating]]&gt;=3.5, "Average", TRUE, "Poor ")</f>
        <v xml:space="preserve">Good </v>
      </c>
      <c r="Q205" s="2" t="str" cm="1">
        <f t="array" ref="Q20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05" s="2" t="str">
        <f>IF(Computed_insight___Success_of_active_sellers__2[[#This Row],[totalurgencycount]]&gt;0, "Has Banner", "No Banner")</f>
        <v>No Banner</v>
      </c>
    </row>
    <row r="206" spans="1:18" x14ac:dyDescent="0.3">
      <c r="A206">
        <v>204</v>
      </c>
      <c r="B206" t="s">
        <v>480</v>
      </c>
      <c r="C206">
        <v>1</v>
      </c>
      <c r="D206">
        <v>10000</v>
      </c>
      <c r="E206">
        <v>10000</v>
      </c>
      <c r="F206">
        <v>4.1449999999999996</v>
      </c>
      <c r="G206">
        <v>3977</v>
      </c>
      <c r="H206">
        <v>7</v>
      </c>
      <c r="I206">
        <v>16</v>
      </c>
      <c r="J206">
        <v>57</v>
      </c>
      <c r="K206">
        <v>57</v>
      </c>
      <c r="L206">
        <v>1116</v>
      </c>
      <c r="O206" s="2" t="str" cm="1">
        <f t="array" ref="O20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06" s="2" t="str" cm="1">
        <f t="array" ref="P206">_xlfn.IFS(Computed_insight___Success_of_active_sellers__2[[#This Row],[rating]]&gt;=4.5, "Excellent ", Computed_insight___Success_of_active_sellers__2[[#This Row],[rating]]&gt;=4, "Good ", Computed_insight___Success_of_active_sellers__2[[#This Row],[rating]]&gt;=3.5, "Average", TRUE, "Poor ")</f>
        <v xml:space="preserve">Good </v>
      </c>
      <c r="Q206" s="2" t="str" cm="1">
        <f t="array" ref="Q20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06" s="2" t="str">
        <f>IF(Computed_insight___Success_of_active_sellers__2[[#This Row],[totalurgencycount]]&gt;0, "Has Banner", "No Banner")</f>
        <v>No Banner</v>
      </c>
    </row>
    <row r="207" spans="1:18" x14ac:dyDescent="0.3">
      <c r="A207">
        <v>205</v>
      </c>
      <c r="B207" t="s">
        <v>955</v>
      </c>
      <c r="C207">
        <v>1</v>
      </c>
      <c r="D207">
        <v>10000</v>
      </c>
      <c r="E207">
        <v>10000</v>
      </c>
      <c r="F207">
        <v>4.1479999999999997</v>
      </c>
      <c r="G207">
        <v>14502</v>
      </c>
      <c r="H207">
        <v>13</v>
      </c>
      <c r="I207">
        <v>11</v>
      </c>
      <c r="J207">
        <v>-18</v>
      </c>
      <c r="K207">
        <v>-18</v>
      </c>
      <c r="L207">
        <v>2901</v>
      </c>
      <c r="M207">
        <v>1</v>
      </c>
      <c r="N207">
        <v>100</v>
      </c>
      <c r="O207" s="2" t="str" cm="1">
        <f t="array" ref="O20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07" s="2" t="str" cm="1">
        <f t="array" ref="P207">_xlfn.IFS(Computed_insight___Success_of_active_sellers__2[[#This Row],[rating]]&gt;=4.5, "Excellent ", Computed_insight___Success_of_active_sellers__2[[#This Row],[rating]]&gt;=4, "Good ", Computed_insight___Success_of_active_sellers__2[[#This Row],[rating]]&gt;=3.5, "Average", TRUE, "Poor ")</f>
        <v xml:space="preserve">Good </v>
      </c>
      <c r="Q207" s="2" t="str" cm="1">
        <f t="array" ref="Q20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07" s="2" t="str">
        <f>IF(Computed_insight___Success_of_active_sellers__2[[#This Row],[totalurgencycount]]&gt;0, "Has Banner", "No Banner")</f>
        <v>Has Banner</v>
      </c>
    </row>
    <row r="208" spans="1:18" x14ac:dyDescent="0.3">
      <c r="A208">
        <v>206</v>
      </c>
      <c r="B208" t="s">
        <v>230</v>
      </c>
      <c r="C208">
        <v>1</v>
      </c>
      <c r="D208">
        <v>10000</v>
      </c>
      <c r="E208">
        <v>10000</v>
      </c>
      <c r="F208">
        <v>4.149</v>
      </c>
      <c r="G208">
        <v>21412</v>
      </c>
      <c r="H208">
        <v>4</v>
      </c>
      <c r="I208">
        <v>4</v>
      </c>
      <c r="J208">
        <v>0</v>
      </c>
      <c r="K208">
        <v>0</v>
      </c>
      <c r="L208">
        <v>1412</v>
      </c>
      <c r="M208">
        <v>1</v>
      </c>
      <c r="N208">
        <v>100</v>
      </c>
      <c r="O208" s="2" t="str" cm="1">
        <f t="array" ref="O20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08" s="2" t="str" cm="1">
        <f t="array" ref="P208">_xlfn.IFS(Computed_insight___Success_of_active_sellers__2[[#This Row],[rating]]&gt;=4.5, "Excellent ", Computed_insight___Success_of_active_sellers__2[[#This Row],[rating]]&gt;=4, "Good ", Computed_insight___Success_of_active_sellers__2[[#This Row],[rating]]&gt;=3.5, "Average", TRUE, "Poor ")</f>
        <v xml:space="preserve">Good </v>
      </c>
      <c r="Q208" s="2" t="str" cm="1">
        <f t="array" ref="Q20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08" s="2" t="str">
        <f>IF(Computed_insight___Success_of_active_sellers__2[[#This Row],[totalurgencycount]]&gt;0, "Has Banner", "No Banner")</f>
        <v>Has Banner</v>
      </c>
    </row>
    <row r="209" spans="1:18" x14ac:dyDescent="0.3">
      <c r="A209">
        <v>207</v>
      </c>
      <c r="B209" t="s">
        <v>44</v>
      </c>
      <c r="C209">
        <v>1</v>
      </c>
      <c r="D209">
        <v>10000</v>
      </c>
      <c r="E209">
        <v>10000</v>
      </c>
      <c r="F209">
        <v>4.1509999999999998</v>
      </c>
      <c r="G209">
        <v>27055</v>
      </c>
      <c r="H209">
        <v>5</v>
      </c>
      <c r="I209">
        <v>5</v>
      </c>
      <c r="J209">
        <v>0</v>
      </c>
      <c r="K209">
        <v>0</v>
      </c>
      <c r="L209">
        <v>3208</v>
      </c>
      <c r="M209">
        <v>1</v>
      </c>
      <c r="N209">
        <v>100</v>
      </c>
      <c r="O209" s="2" t="str" cm="1">
        <f t="array" ref="O20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09" s="2" t="str" cm="1">
        <f t="array" ref="P209">_xlfn.IFS(Computed_insight___Success_of_active_sellers__2[[#This Row],[rating]]&gt;=4.5, "Excellent ", Computed_insight___Success_of_active_sellers__2[[#This Row],[rating]]&gt;=4, "Good ", Computed_insight___Success_of_active_sellers__2[[#This Row],[rating]]&gt;=3.5, "Average", TRUE, "Poor ")</f>
        <v xml:space="preserve">Good </v>
      </c>
      <c r="Q209" s="2" t="str" cm="1">
        <f t="array" ref="Q20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09" s="2" t="str">
        <f>IF(Computed_insight___Success_of_active_sellers__2[[#This Row],[totalurgencycount]]&gt;0, "Has Banner", "No Banner")</f>
        <v>Has Banner</v>
      </c>
    </row>
    <row r="210" spans="1:18" x14ac:dyDescent="0.3">
      <c r="A210">
        <v>208</v>
      </c>
      <c r="B210" t="s">
        <v>242</v>
      </c>
      <c r="C210">
        <v>1</v>
      </c>
      <c r="D210">
        <v>10000</v>
      </c>
      <c r="E210">
        <v>10000</v>
      </c>
      <c r="F210">
        <v>4.1520000000000001</v>
      </c>
      <c r="G210">
        <v>120781</v>
      </c>
      <c r="H210">
        <v>11</v>
      </c>
      <c r="I210">
        <v>16</v>
      </c>
      <c r="J210">
        <v>32</v>
      </c>
      <c r="K210">
        <v>32</v>
      </c>
      <c r="L210">
        <v>1586</v>
      </c>
      <c r="O210" s="2" t="str" cm="1">
        <f t="array" ref="O21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10" s="2" t="str" cm="1">
        <f t="array" ref="P210">_xlfn.IFS(Computed_insight___Success_of_active_sellers__2[[#This Row],[rating]]&gt;=4.5, "Excellent ", Computed_insight___Success_of_active_sellers__2[[#This Row],[rating]]&gt;=4, "Good ", Computed_insight___Success_of_active_sellers__2[[#This Row],[rating]]&gt;=3.5, "Average", TRUE, "Poor ")</f>
        <v xml:space="preserve">Good </v>
      </c>
      <c r="Q210" s="2" t="str" cm="1">
        <f t="array" ref="Q210">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10" s="2" t="str">
        <f>IF(Computed_insight___Success_of_active_sellers__2[[#This Row],[totalurgencycount]]&gt;0, "Has Banner", "No Banner")</f>
        <v>No Banner</v>
      </c>
    </row>
    <row r="211" spans="1:18" x14ac:dyDescent="0.3">
      <c r="A211">
        <v>209</v>
      </c>
      <c r="B211" t="s">
        <v>434</v>
      </c>
      <c r="C211">
        <v>1</v>
      </c>
      <c r="D211">
        <v>10000</v>
      </c>
      <c r="E211">
        <v>10000</v>
      </c>
      <c r="F211">
        <v>4.1619999999999999</v>
      </c>
      <c r="G211">
        <v>8727</v>
      </c>
      <c r="H211">
        <v>7</v>
      </c>
      <c r="I211">
        <v>9</v>
      </c>
      <c r="J211">
        <v>23</v>
      </c>
      <c r="K211">
        <v>23</v>
      </c>
      <c r="L211">
        <v>1838</v>
      </c>
      <c r="M211">
        <v>1</v>
      </c>
      <c r="N211">
        <v>100</v>
      </c>
      <c r="O211" s="2" t="str" cm="1">
        <f t="array" ref="O21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11" s="2" t="str" cm="1">
        <f t="array" ref="P211">_xlfn.IFS(Computed_insight___Success_of_active_sellers__2[[#This Row],[rating]]&gt;=4.5, "Excellent ", Computed_insight___Success_of_active_sellers__2[[#This Row],[rating]]&gt;=4, "Good ", Computed_insight___Success_of_active_sellers__2[[#This Row],[rating]]&gt;=3.5, "Average", TRUE, "Poor ")</f>
        <v xml:space="preserve">Good </v>
      </c>
      <c r="Q211" s="2" t="str" cm="1">
        <f t="array" ref="Q211">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211" s="2" t="str">
        <f>IF(Computed_insight___Success_of_active_sellers__2[[#This Row],[totalurgencycount]]&gt;0, "Has Banner", "No Banner")</f>
        <v>Has Banner</v>
      </c>
    </row>
    <row r="212" spans="1:18" x14ac:dyDescent="0.3">
      <c r="A212">
        <v>210</v>
      </c>
      <c r="B212" t="s">
        <v>684</v>
      </c>
      <c r="C212">
        <v>1</v>
      </c>
      <c r="D212">
        <v>10000</v>
      </c>
      <c r="E212">
        <v>10000</v>
      </c>
      <c r="F212">
        <v>4.181</v>
      </c>
      <c r="G212">
        <v>11148</v>
      </c>
      <c r="H212">
        <v>8</v>
      </c>
      <c r="I212">
        <v>7</v>
      </c>
      <c r="J212">
        <v>-14</v>
      </c>
      <c r="K212">
        <v>-14</v>
      </c>
      <c r="L212">
        <v>1473</v>
      </c>
      <c r="O212" s="2" t="str" cm="1">
        <f t="array" ref="O21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12" s="2" t="str" cm="1">
        <f t="array" ref="P212">_xlfn.IFS(Computed_insight___Success_of_active_sellers__2[[#This Row],[rating]]&gt;=4.5, "Excellent ", Computed_insight___Success_of_active_sellers__2[[#This Row],[rating]]&gt;=4, "Good ", Computed_insight___Success_of_active_sellers__2[[#This Row],[rating]]&gt;=3.5, "Average", TRUE, "Poor ")</f>
        <v xml:space="preserve">Good </v>
      </c>
      <c r="Q212" s="2" t="str" cm="1">
        <f t="array" ref="Q21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12" s="2" t="str">
        <f>IF(Computed_insight___Success_of_active_sellers__2[[#This Row],[totalurgencycount]]&gt;0, "Has Banner", "No Banner")</f>
        <v>No Banner</v>
      </c>
    </row>
    <row r="213" spans="1:18" x14ac:dyDescent="0.3">
      <c r="A213">
        <v>211</v>
      </c>
      <c r="B213" t="s">
        <v>543</v>
      </c>
      <c r="C213">
        <v>1</v>
      </c>
      <c r="D213">
        <v>10000</v>
      </c>
      <c r="E213">
        <v>10000</v>
      </c>
      <c r="F213">
        <v>4.181</v>
      </c>
      <c r="G213">
        <v>2975</v>
      </c>
      <c r="H213">
        <v>11</v>
      </c>
      <c r="I213">
        <v>11</v>
      </c>
      <c r="J213">
        <v>0</v>
      </c>
      <c r="K213">
        <v>0</v>
      </c>
      <c r="L213">
        <v>1520</v>
      </c>
      <c r="O213" s="2" t="str" cm="1">
        <f t="array" ref="O21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13" s="2" t="str" cm="1">
        <f t="array" ref="P213">_xlfn.IFS(Computed_insight___Success_of_active_sellers__2[[#This Row],[rating]]&gt;=4.5, "Excellent ", Computed_insight___Success_of_active_sellers__2[[#This Row],[rating]]&gt;=4, "Good ", Computed_insight___Success_of_active_sellers__2[[#This Row],[rating]]&gt;=3.5, "Average", TRUE, "Poor ")</f>
        <v xml:space="preserve">Good </v>
      </c>
      <c r="Q213" s="2" t="str" cm="1">
        <f t="array" ref="Q21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13" s="2" t="str">
        <f>IF(Computed_insight___Success_of_active_sellers__2[[#This Row],[totalurgencycount]]&gt;0, "Has Banner", "No Banner")</f>
        <v>No Banner</v>
      </c>
    </row>
    <row r="214" spans="1:18" x14ac:dyDescent="0.3">
      <c r="A214">
        <v>212</v>
      </c>
      <c r="B214" t="s">
        <v>189</v>
      </c>
      <c r="C214">
        <v>1</v>
      </c>
      <c r="D214">
        <v>10000</v>
      </c>
      <c r="E214">
        <v>10000</v>
      </c>
      <c r="F214">
        <v>4.1829999999999998</v>
      </c>
      <c r="G214">
        <v>28159</v>
      </c>
      <c r="H214">
        <v>6</v>
      </c>
      <c r="I214">
        <v>76</v>
      </c>
      <c r="J214">
        <v>93</v>
      </c>
      <c r="K214">
        <v>93</v>
      </c>
      <c r="L214">
        <v>1741</v>
      </c>
      <c r="O214" s="2" t="str" cm="1">
        <f t="array" ref="O21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14" s="2" t="str" cm="1">
        <f t="array" ref="P214">_xlfn.IFS(Computed_insight___Success_of_active_sellers__2[[#This Row],[rating]]&gt;=4.5, "Excellent ", Computed_insight___Success_of_active_sellers__2[[#This Row],[rating]]&gt;=4, "Good ", Computed_insight___Success_of_active_sellers__2[[#This Row],[rating]]&gt;=3.5, "Average", TRUE, "Poor ")</f>
        <v xml:space="preserve">Good </v>
      </c>
      <c r="Q214" s="2" t="str" cm="1">
        <f t="array" ref="Q21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14" s="2" t="str">
        <f>IF(Computed_insight___Success_of_active_sellers__2[[#This Row],[totalurgencycount]]&gt;0, "Has Banner", "No Banner")</f>
        <v>No Banner</v>
      </c>
    </row>
    <row r="215" spans="1:18" x14ac:dyDescent="0.3">
      <c r="A215">
        <v>213</v>
      </c>
      <c r="B215" t="s">
        <v>891</v>
      </c>
      <c r="C215">
        <v>1</v>
      </c>
      <c r="D215">
        <v>10000</v>
      </c>
      <c r="E215">
        <v>10000</v>
      </c>
      <c r="F215">
        <v>4.1879999999999997</v>
      </c>
      <c r="G215">
        <v>2359</v>
      </c>
      <c r="H215">
        <v>6</v>
      </c>
      <c r="I215">
        <v>10</v>
      </c>
      <c r="J215">
        <v>40</v>
      </c>
      <c r="K215">
        <v>40</v>
      </c>
      <c r="L215">
        <v>1496</v>
      </c>
      <c r="M215">
        <v>1</v>
      </c>
      <c r="N215">
        <v>100</v>
      </c>
      <c r="O215" s="2" t="str" cm="1">
        <f t="array" ref="O21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15" s="2" t="str" cm="1">
        <f t="array" ref="P215">_xlfn.IFS(Computed_insight___Success_of_active_sellers__2[[#This Row],[rating]]&gt;=4.5, "Excellent ", Computed_insight___Success_of_active_sellers__2[[#This Row],[rating]]&gt;=4, "Good ", Computed_insight___Success_of_active_sellers__2[[#This Row],[rating]]&gt;=3.5, "Average", TRUE, "Poor ")</f>
        <v xml:space="preserve">Good </v>
      </c>
      <c r="Q215" s="2" t="str" cm="1">
        <f t="array" ref="Q215">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15" s="2" t="str">
        <f>IF(Computed_insight___Success_of_active_sellers__2[[#This Row],[totalurgencycount]]&gt;0, "Has Banner", "No Banner")</f>
        <v>Has Banner</v>
      </c>
    </row>
    <row r="216" spans="1:18" x14ac:dyDescent="0.3">
      <c r="A216">
        <v>214</v>
      </c>
      <c r="B216" t="s">
        <v>695</v>
      </c>
      <c r="C216">
        <v>1</v>
      </c>
      <c r="D216">
        <v>10000</v>
      </c>
      <c r="E216">
        <v>10000</v>
      </c>
      <c r="F216">
        <v>4.1920000000000002</v>
      </c>
      <c r="G216">
        <v>2888</v>
      </c>
      <c r="H216">
        <v>9</v>
      </c>
      <c r="I216">
        <v>59</v>
      </c>
      <c r="J216">
        <v>85</v>
      </c>
      <c r="K216">
        <v>85</v>
      </c>
      <c r="L216">
        <v>1721</v>
      </c>
      <c r="O216" s="2" t="str" cm="1">
        <f t="array" ref="O21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16" s="2" t="str" cm="1">
        <f t="array" ref="P216">_xlfn.IFS(Computed_insight___Success_of_active_sellers__2[[#This Row],[rating]]&gt;=4.5, "Excellent ", Computed_insight___Success_of_active_sellers__2[[#This Row],[rating]]&gt;=4, "Good ", Computed_insight___Success_of_active_sellers__2[[#This Row],[rating]]&gt;=3.5, "Average", TRUE, "Poor ")</f>
        <v xml:space="preserve">Good </v>
      </c>
      <c r="Q216" s="2" t="str" cm="1">
        <f t="array" ref="Q21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16" s="2" t="str">
        <f>IF(Computed_insight___Success_of_active_sellers__2[[#This Row],[totalurgencycount]]&gt;0, "Has Banner", "No Banner")</f>
        <v>No Banner</v>
      </c>
    </row>
    <row r="217" spans="1:18" x14ac:dyDescent="0.3">
      <c r="A217">
        <v>215</v>
      </c>
      <c r="B217" t="s">
        <v>481</v>
      </c>
      <c r="C217">
        <v>1</v>
      </c>
      <c r="D217">
        <v>10000</v>
      </c>
      <c r="E217">
        <v>10000</v>
      </c>
      <c r="F217">
        <v>4.2030000000000003</v>
      </c>
      <c r="G217">
        <v>22173</v>
      </c>
      <c r="H217">
        <v>13</v>
      </c>
      <c r="I217">
        <v>84</v>
      </c>
      <c r="J217">
        <v>85</v>
      </c>
      <c r="K217">
        <v>85</v>
      </c>
      <c r="L217">
        <v>2328</v>
      </c>
      <c r="M217">
        <v>1</v>
      </c>
      <c r="N217">
        <v>100</v>
      </c>
      <c r="O217" s="2" t="str" cm="1">
        <f t="array" ref="O21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17" s="2" t="str" cm="1">
        <f t="array" ref="P217">_xlfn.IFS(Computed_insight___Success_of_active_sellers__2[[#This Row],[rating]]&gt;=4.5, "Excellent ", Computed_insight___Success_of_active_sellers__2[[#This Row],[rating]]&gt;=4, "Good ", Computed_insight___Success_of_active_sellers__2[[#This Row],[rating]]&gt;=3.5, "Average", TRUE, "Poor ")</f>
        <v xml:space="preserve">Good </v>
      </c>
      <c r="Q217" s="2" t="str" cm="1">
        <f t="array" ref="Q21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17" s="2" t="str">
        <f>IF(Computed_insight___Success_of_active_sellers__2[[#This Row],[totalurgencycount]]&gt;0, "Has Banner", "No Banner")</f>
        <v>Has Banner</v>
      </c>
    </row>
    <row r="218" spans="1:18" x14ac:dyDescent="0.3">
      <c r="A218">
        <v>216</v>
      </c>
      <c r="B218" t="s">
        <v>929</v>
      </c>
      <c r="C218">
        <v>1</v>
      </c>
      <c r="D218">
        <v>10000</v>
      </c>
      <c r="E218">
        <v>10000</v>
      </c>
      <c r="F218">
        <v>4.2089999999999996</v>
      </c>
      <c r="G218">
        <v>4295</v>
      </c>
      <c r="H218">
        <v>9</v>
      </c>
      <c r="I218">
        <v>8</v>
      </c>
      <c r="J218">
        <v>-12</v>
      </c>
      <c r="K218">
        <v>-12</v>
      </c>
      <c r="L218">
        <v>3024</v>
      </c>
      <c r="M218">
        <v>1</v>
      </c>
      <c r="N218">
        <v>100</v>
      </c>
      <c r="O218" s="2" t="str" cm="1">
        <f t="array" ref="O21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18" s="2" t="str" cm="1">
        <f t="array" ref="P218">_xlfn.IFS(Computed_insight___Success_of_active_sellers__2[[#This Row],[rating]]&gt;=4.5, "Excellent ", Computed_insight___Success_of_active_sellers__2[[#This Row],[rating]]&gt;=4, "Good ", Computed_insight___Success_of_active_sellers__2[[#This Row],[rating]]&gt;=3.5, "Average", TRUE, "Poor ")</f>
        <v xml:space="preserve">Good </v>
      </c>
      <c r="Q218" s="2" t="str" cm="1">
        <f t="array" ref="Q21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18" s="2" t="str">
        <f>IF(Computed_insight___Success_of_active_sellers__2[[#This Row],[totalurgencycount]]&gt;0, "Has Banner", "No Banner")</f>
        <v>Has Banner</v>
      </c>
    </row>
    <row r="219" spans="1:18" x14ac:dyDescent="0.3">
      <c r="A219">
        <v>217</v>
      </c>
      <c r="B219" t="s">
        <v>786</v>
      </c>
      <c r="C219">
        <v>1</v>
      </c>
      <c r="D219">
        <v>10000</v>
      </c>
      <c r="E219">
        <v>10000</v>
      </c>
      <c r="F219">
        <v>4.2240000000000002</v>
      </c>
      <c r="G219">
        <v>16064</v>
      </c>
      <c r="H219">
        <v>14</v>
      </c>
      <c r="I219">
        <v>12</v>
      </c>
      <c r="J219">
        <v>-16</v>
      </c>
      <c r="K219">
        <v>-16</v>
      </c>
      <c r="L219">
        <v>3574</v>
      </c>
      <c r="O219" s="2" t="str" cm="1">
        <f t="array" ref="O21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19" s="2" t="str" cm="1">
        <f t="array" ref="P219">_xlfn.IFS(Computed_insight___Success_of_active_sellers__2[[#This Row],[rating]]&gt;=4.5, "Excellent ", Computed_insight___Success_of_active_sellers__2[[#This Row],[rating]]&gt;=4, "Good ", Computed_insight___Success_of_active_sellers__2[[#This Row],[rating]]&gt;=3.5, "Average", TRUE, "Poor ")</f>
        <v xml:space="preserve">Good </v>
      </c>
      <c r="Q219" s="2" t="str" cm="1">
        <f t="array" ref="Q21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19" s="2" t="str">
        <f>IF(Computed_insight___Success_of_active_sellers__2[[#This Row],[totalurgencycount]]&gt;0, "Has Banner", "No Banner")</f>
        <v>No Banner</v>
      </c>
    </row>
    <row r="220" spans="1:18" x14ac:dyDescent="0.3">
      <c r="A220">
        <v>218</v>
      </c>
      <c r="B220" t="s">
        <v>297</v>
      </c>
      <c r="C220">
        <v>1</v>
      </c>
      <c r="D220">
        <v>10000</v>
      </c>
      <c r="E220">
        <v>10000</v>
      </c>
      <c r="F220">
        <v>4.2279999999999998</v>
      </c>
      <c r="G220">
        <v>30292</v>
      </c>
      <c r="H220">
        <v>8</v>
      </c>
      <c r="I220">
        <v>25</v>
      </c>
      <c r="J220">
        <v>68</v>
      </c>
      <c r="K220">
        <v>68</v>
      </c>
      <c r="L220">
        <v>2324</v>
      </c>
      <c r="O220" s="2" t="str" cm="1">
        <f t="array" ref="O22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20" s="2" t="str" cm="1">
        <f t="array" ref="P220">_xlfn.IFS(Computed_insight___Success_of_active_sellers__2[[#This Row],[rating]]&gt;=4.5, "Excellent ", Computed_insight___Success_of_active_sellers__2[[#This Row],[rating]]&gt;=4, "Good ", Computed_insight___Success_of_active_sellers__2[[#This Row],[rating]]&gt;=3.5, "Average", TRUE, "Poor ")</f>
        <v xml:space="preserve">Good </v>
      </c>
      <c r="Q220" s="2" t="str" cm="1">
        <f t="array" ref="Q22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20" s="2" t="str">
        <f>IF(Computed_insight___Success_of_active_sellers__2[[#This Row],[totalurgencycount]]&gt;0, "Has Banner", "No Banner")</f>
        <v>No Banner</v>
      </c>
    </row>
    <row r="221" spans="1:18" x14ac:dyDescent="0.3">
      <c r="A221">
        <v>219</v>
      </c>
      <c r="B221" t="s">
        <v>311</v>
      </c>
      <c r="C221">
        <v>1</v>
      </c>
      <c r="D221">
        <v>10000</v>
      </c>
      <c r="E221">
        <v>10000</v>
      </c>
      <c r="F221">
        <v>4.2380000000000004</v>
      </c>
      <c r="G221">
        <v>783</v>
      </c>
      <c r="H221">
        <v>1.77</v>
      </c>
      <c r="I221">
        <v>2</v>
      </c>
      <c r="J221">
        <v>12</v>
      </c>
      <c r="K221">
        <v>12</v>
      </c>
      <c r="L221">
        <v>510</v>
      </c>
      <c r="O221" s="2" t="str" cm="1">
        <f t="array" ref="O22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21" s="2" t="str" cm="1">
        <f t="array" ref="P221">_xlfn.IFS(Computed_insight___Success_of_active_sellers__2[[#This Row],[rating]]&gt;=4.5, "Excellent ", Computed_insight___Success_of_active_sellers__2[[#This Row],[rating]]&gt;=4, "Good ", Computed_insight___Success_of_active_sellers__2[[#This Row],[rating]]&gt;=3.5, "Average", TRUE, "Poor ")</f>
        <v xml:space="preserve">Good </v>
      </c>
      <c r="Q221" s="2" t="str" cm="1">
        <f t="array" ref="Q221">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221" s="2" t="str">
        <f>IF(Computed_insight___Success_of_active_sellers__2[[#This Row],[totalurgencycount]]&gt;0, "Has Banner", "No Banner")</f>
        <v>No Banner</v>
      </c>
    </row>
    <row r="222" spans="1:18" x14ac:dyDescent="0.3">
      <c r="A222">
        <v>220</v>
      </c>
      <c r="B222" t="s">
        <v>933</v>
      </c>
      <c r="C222">
        <v>1</v>
      </c>
      <c r="D222">
        <v>10000</v>
      </c>
      <c r="E222">
        <v>10000</v>
      </c>
      <c r="F222">
        <v>4.2409999999999997</v>
      </c>
      <c r="G222">
        <v>4907</v>
      </c>
      <c r="H222">
        <v>8</v>
      </c>
      <c r="I222">
        <v>11</v>
      </c>
      <c r="J222">
        <v>28</v>
      </c>
      <c r="K222">
        <v>28</v>
      </c>
      <c r="L222">
        <v>1715</v>
      </c>
      <c r="O222" s="2" t="str" cm="1">
        <f t="array" ref="O22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22" s="2" t="str" cm="1">
        <f t="array" ref="P222">_xlfn.IFS(Computed_insight___Success_of_active_sellers__2[[#This Row],[rating]]&gt;=4.5, "Excellent ", Computed_insight___Success_of_active_sellers__2[[#This Row],[rating]]&gt;=4, "Good ", Computed_insight___Success_of_active_sellers__2[[#This Row],[rating]]&gt;=3.5, "Average", TRUE, "Poor ")</f>
        <v xml:space="preserve">Good </v>
      </c>
      <c r="Q222" s="2" t="str" cm="1">
        <f t="array" ref="Q222">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22" s="2" t="str">
        <f>IF(Computed_insight___Success_of_active_sellers__2[[#This Row],[totalurgencycount]]&gt;0, "Has Banner", "No Banner")</f>
        <v>No Banner</v>
      </c>
    </row>
    <row r="223" spans="1:18" x14ac:dyDescent="0.3">
      <c r="A223">
        <v>221</v>
      </c>
      <c r="B223" t="s">
        <v>194</v>
      </c>
      <c r="C223">
        <v>1</v>
      </c>
      <c r="D223">
        <v>10000</v>
      </c>
      <c r="E223">
        <v>10000</v>
      </c>
      <c r="F223">
        <v>4.2510000000000003</v>
      </c>
      <c r="G223">
        <v>3309</v>
      </c>
      <c r="H223">
        <v>18</v>
      </c>
      <c r="I223">
        <v>17</v>
      </c>
      <c r="J223">
        <v>-5</v>
      </c>
      <c r="K223">
        <v>-5</v>
      </c>
      <c r="L223">
        <v>3229</v>
      </c>
      <c r="O223" s="2" t="str" cm="1">
        <f t="array" ref="O22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23" s="2" t="str" cm="1">
        <f t="array" ref="P223">_xlfn.IFS(Computed_insight___Success_of_active_sellers__2[[#This Row],[rating]]&gt;=4.5, "Excellent ", Computed_insight___Success_of_active_sellers__2[[#This Row],[rating]]&gt;=4, "Good ", Computed_insight___Success_of_active_sellers__2[[#This Row],[rating]]&gt;=3.5, "Average", TRUE, "Poor ")</f>
        <v xml:space="preserve">Good </v>
      </c>
      <c r="Q223" s="2" t="str" cm="1">
        <f t="array" ref="Q22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23" s="2" t="str">
        <f>IF(Computed_insight___Success_of_active_sellers__2[[#This Row],[totalurgencycount]]&gt;0, "Has Banner", "No Banner")</f>
        <v>No Banner</v>
      </c>
    </row>
    <row r="224" spans="1:18" x14ac:dyDescent="0.3">
      <c r="A224">
        <v>222</v>
      </c>
      <c r="B224" t="s">
        <v>752</v>
      </c>
      <c r="C224">
        <v>1</v>
      </c>
      <c r="D224">
        <v>10000</v>
      </c>
      <c r="E224">
        <v>10000</v>
      </c>
      <c r="F224">
        <v>4.2590000000000003</v>
      </c>
      <c r="G224">
        <v>20169</v>
      </c>
      <c r="H224">
        <v>8</v>
      </c>
      <c r="I224">
        <v>11</v>
      </c>
      <c r="J224">
        <v>28</v>
      </c>
      <c r="K224">
        <v>28</v>
      </c>
      <c r="L224">
        <v>3345</v>
      </c>
      <c r="M224">
        <v>1</v>
      </c>
      <c r="N224">
        <v>100</v>
      </c>
      <c r="O224" s="2" t="str" cm="1">
        <f t="array" ref="O22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24" s="2" t="str" cm="1">
        <f t="array" ref="P224">_xlfn.IFS(Computed_insight___Success_of_active_sellers__2[[#This Row],[rating]]&gt;=4.5, "Excellent ", Computed_insight___Success_of_active_sellers__2[[#This Row],[rating]]&gt;=4, "Good ", Computed_insight___Success_of_active_sellers__2[[#This Row],[rating]]&gt;=3.5, "Average", TRUE, "Poor ")</f>
        <v xml:space="preserve">Good </v>
      </c>
      <c r="Q224" s="2" t="str" cm="1">
        <f t="array" ref="Q224">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24" s="2" t="str">
        <f>IF(Computed_insight___Success_of_active_sellers__2[[#This Row],[totalurgencycount]]&gt;0, "Has Banner", "No Banner")</f>
        <v>Has Banner</v>
      </c>
    </row>
    <row r="225" spans="1:18" x14ac:dyDescent="0.3">
      <c r="A225">
        <v>223</v>
      </c>
      <c r="B225" t="s">
        <v>666</v>
      </c>
      <c r="C225">
        <v>1</v>
      </c>
      <c r="D225">
        <v>10000</v>
      </c>
      <c r="E225">
        <v>10000</v>
      </c>
      <c r="F225">
        <v>4.28</v>
      </c>
      <c r="G225">
        <v>11596</v>
      </c>
      <c r="H225">
        <v>6</v>
      </c>
      <c r="I225">
        <v>31</v>
      </c>
      <c r="J225">
        <v>81</v>
      </c>
      <c r="K225">
        <v>81</v>
      </c>
      <c r="L225">
        <v>2789</v>
      </c>
      <c r="O225" s="2" t="str" cm="1">
        <f t="array" ref="O22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25" s="2" t="str" cm="1">
        <f t="array" ref="P225">_xlfn.IFS(Computed_insight___Success_of_active_sellers__2[[#This Row],[rating]]&gt;=4.5, "Excellent ", Computed_insight___Success_of_active_sellers__2[[#This Row],[rating]]&gt;=4, "Good ", Computed_insight___Success_of_active_sellers__2[[#This Row],[rating]]&gt;=3.5, "Average", TRUE, "Poor ")</f>
        <v xml:space="preserve">Good </v>
      </c>
      <c r="Q225" s="2" t="str" cm="1">
        <f t="array" ref="Q22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25" s="2" t="str">
        <f>IF(Computed_insight___Success_of_active_sellers__2[[#This Row],[totalurgencycount]]&gt;0, "Has Banner", "No Banner")</f>
        <v>No Banner</v>
      </c>
    </row>
    <row r="226" spans="1:18" x14ac:dyDescent="0.3">
      <c r="A226">
        <v>224</v>
      </c>
      <c r="B226" t="s">
        <v>459</v>
      </c>
      <c r="C226">
        <v>1</v>
      </c>
      <c r="D226">
        <v>10000</v>
      </c>
      <c r="E226">
        <v>10000</v>
      </c>
      <c r="F226">
        <v>4.2930000000000001</v>
      </c>
      <c r="G226">
        <v>9661</v>
      </c>
      <c r="H226">
        <v>7</v>
      </c>
      <c r="I226">
        <v>6</v>
      </c>
      <c r="J226">
        <v>-16</v>
      </c>
      <c r="K226">
        <v>-16</v>
      </c>
      <c r="L226">
        <v>3079</v>
      </c>
      <c r="O226" s="2" t="str" cm="1">
        <f t="array" ref="O22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26" s="2" t="str" cm="1">
        <f t="array" ref="P226">_xlfn.IFS(Computed_insight___Success_of_active_sellers__2[[#This Row],[rating]]&gt;=4.5, "Excellent ", Computed_insight___Success_of_active_sellers__2[[#This Row],[rating]]&gt;=4, "Good ", Computed_insight___Success_of_active_sellers__2[[#This Row],[rating]]&gt;=3.5, "Average", TRUE, "Poor ")</f>
        <v xml:space="preserve">Good </v>
      </c>
      <c r="Q226" s="2" t="str" cm="1">
        <f t="array" ref="Q22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26" s="2" t="str">
        <f>IF(Computed_insight___Success_of_active_sellers__2[[#This Row],[totalurgencycount]]&gt;0, "Has Banner", "No Banner")</f>
        <v>No Banner</v>
      </c>
    </row>
    <row r="227" spans="1:18" x14ac:dyDescent="0.3">
      <c r="A227">
        <v>225</v>
      </c>
      <c r="B227" t="s">
        <v>633</v>
      </c>
      <c r="C227">
        <v>1</v>
      </c>
      <c r="D227">
        <v>10000</v>
      </c>
      <c r="E227">
        <v>10000</v>
      </c>
      <c r="F227">
        <v>4.3010000000000002</v>
      </c>
      <c r="G227">
        <v>23719</v>
      </c>
      <c r="H227">
        <v>13</v>
      </c>
      <c r="I227">
        <v>84</v>
      </c>
      <c r="J227">
        <v>85</v>
      </c>
      <c r="K227">
        <v>85</v>
      </c>
      <c r="L227">
        <v>2592</v>
      </c>
      <c r="O227" s="2" t="str" cm="1">
        <f t="array" ref="O22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27" s="2" t="str" cm="1">
        <f t="array" ref="P227">_xlfn.IFS(Computed_insight___Success_of_active_sellers__2[[#This Row],[rating]]&gt;=4.5, "Excellent ", Computed_insight___Success_of_active_sellers__2[[#This Row],[rating]]&gt;=4, "Good ", Computed_insight___Success_of_active_sellers__2[[#This Row],[rating]]&gt;=3.5, "Average", TRUE, "Poor ")</f>
        <v xml:space="preserve">Good </v>
      </c>
      <c r="Q227" s="2" t="str" cm="1">
        <f t="array" ref="Q22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27" s="2" t="str">
        <f>IF(Computed_insight___Success_of_active_sellers__2[[#This Row],[totalurgencycount]]&gt;0, "Has Banner", "No Banner")</f>
        <v>No Banner</v>
      </c>
    </row>
    <row r="228" spans="1:18" x14ac:dyDescent="0.3">
      <c r="A228">
        <v>226</v>
      </c>
      <c r="B228" t="s">
        <v>577</v>
      </c>
      <c r="C228">
        <v>1</v>
      </c>
      <c r="D228">
        <v>10000</v>
      </c>
      <c r="E228">
        <v>10000</v>
      </c>
      <c r="F228">
        <v>4.3010000000000002</v>
      </c>
      <c r="G228">
        <v>17621</v>
      </c>
      <c r="H228">
        <v>16</v>
      </c>
      <c r="I228">
        <v>14</v>
      </c>
      <c r="J228">
        <v>-14</v>
      </c>
      <c r="K228">
        <v>-14</v>
      </c>
      <c r="L228">
        <v>3075</v>
      </c>
      <c r="M228">
        <v>1</v>
      </c>
      <c r="N228">
        <v>100</v>
      </c>
      <c r="O228" s="2" t="str" cm="1">
        <f t="array" ref="O22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28" s="2" t="str" cm="1">
        <f t="array" ref="P228">_xlfn.IFS(Computed_insight___Success_of_active_sellers__2[[#This Row],[rating]]&gt;=4.5, "Excellent ", Computed_insight___Success_of_active_sellers__2[[#This Row],[rating]]&gt;=4, "Good ", Computed_insight___Success_of_active_sellers__2[[#This Row],[rating]]&gt;=3.5, "Average", TRUE, "Poor ")</f>
        <v xml:space="preserve">Good </v>
      </c>
      <c r="Q228" s="2" t="str" cm="1">
        <f t="array" ref="Q22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28" s="2" t="str">
        <f>IF(Computed_insight___Success_of_active_sellers__2[[#This Row],[totalurgencycount]]&gt;0, "Has Banner", "No Banner")</f>
        <v>Has Banner</v>
      </c>
    </row>
    <row r="229" spans="1:18" x14ac:dyDescent="0.3">
      <c r="A229">
        <v>227</v>
      </c>
      <c r="B229" t="s">
        <v>753</v>
      </c>
      <c r="C229">
        <v>1</v>
      </c>
      <c r="D229">
        <v>10000</v>
      </c>
      <c r="E229">
        <v>10000</v>
      </c>
      <c r="F229">
        <v>4.3079999999999998</v>
      </c>
      <c r="G229">
        <v>9981</v>
      </c>
      <c r="H229">
        <v>13</v>
      </c>
      <c r="I229">
        <v>11</v>
      </c>
      <c r="J229">
        <v>-18</v>
      </c>
      <c r="K229">
        <v>-18</v>
      </c>
      <c r="L229">
        <v>1184</v>
      </c>
      <c r="O229" s="2" t="str" cm="1">
        <f t="array" ref="O22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29" s="2" t="str" cm="1">
        <f t="array" ref="P229">_xlfn.IFS(Computed_insight___Success_of_active_sellers__2[[#This Row],[rating]]&gt;=4.5, "Excellent ", Computed_insight___Success_of_active_sellers__2[[#This Row],[rating]]&gt;=4, "Good ", Computed_insight___Success_of_active_sellers__2[[#This Row],[rating]]&gt;=3.5, "Average", TRUE, "Poor ")</f>
        <v xml:space="preserve">Good </v>
      </c>
      <c r="Q229" s="2" t="str" cm="1">
        <f t="array" ref="Q22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29" s="2" t="str">
        <f>IF(Computed_insight___Success_of_active_sellers__2[[#This Row],[totalurgencycount]]&gt;0, "Has Banner", "No Banner")</f>
        <v>No Banner</v>
      </c>
    </row>
    <row r="230" spans="1:18" x14ac:dyDescent="0.3">
      <c r="A230">
        <v>228</v>
      </c>
      <c r="B230" t="s">
        <v>706</v>
      </c>
      <c r="C230">
        <v>1</v>
      </c>
      <c r="D230">
        <v>10000</v>
      </c>
      <c r="E230">
        <v>10000</v>
      </c>
      <c r="F230">
        <v>4.3109999999999999</v>
      </c>
      <c r="G230">
        <v>230951</v>
      </c>
      <c r="H230">
        <v>4</v>
      </c>
      <c r="I230">
        <v>4</v>
      </c>
      <c r="J230">
        <v>0</v>
      </c>
      <c r="K230">
        <v>0</v>
      </c>
      <c r="L230">
        <v>2150</v>
      </c>
      <c r="O230" s="2" t="str" cm="1">
        <f t="array" ref="O23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30" s="2" t="str" cm="1">
        <f t="array" ref="P230">_xlfn.IFS(Computed_insight___Success_of_active_sellers__2[[#This Row],[rating]]&gt;=4.5, "Excellent ", Computed_insight___Success_of_active_sellers__2[[#This Row],[rating]]&gt;=4, "Good ", Computed_insight___Success_of_active_sellers__2[[#This Row],[rating]]&gt;=3.5, "Average", TRUE, "Poor ")</f>
        <v xml:space="preserve">Good </v>
      </c>
      <c r="Q230" s="2" t="str" cm="1">
        <f t="array" ref="Q23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30" s="2" t="str">
        <f>IF(Computed_insight___Success_of_active_sellers__2[[#This Row],[totalurgencycount]]&gt;0, "Has Banner", "No Banner")</f>
        <v>No Banner</v>
      </c>
    </row>
    <row r="231" spans="1:18" x14ac:dyDescent="0.3">
      <c r="A231">
        <v>229</v>
      </c>
      <c r="B231" t="s">
        <v>733</v>
      </c>
      <c r="C231">
        <v>1</v>
      </c>
      <c r="D231">
        <v>10000</v>
      </c>
      <c r="E231">
        <v>10000</v>
      </c>
      <c r="F231">
        <v>4.3140000000000001</v>
      </c>
      <c r="G231">
        <v>33675</v>
      </c>
      <c r="H231">
        <v>6</v>
      </c>
      <c r="I231">
        <v>6</v>
      </c>
      <c r="J231">
        <v>0</v>
      </c>
      <c r="K231">
        <v>0</v>
      </c>
      <c r="L231">
        <v>2808</v>
      </c>
      <c r="M231">
        <v>1</v>
      </c>
      <c r="N231">
        <v>100</v>
      </c>
      <c r="O231" s="2" t="str" cm="1">
        <f t="array" ref="O23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31" s="2" t="str" cm="1">
        <f t="array" ref="P231">_xlfn.IFS(Computed_insight___Success_of_active_sellers__2[[#This Row],[rating]]&gt;=4.5, "Excellent ", Computed_insight___Success_of_active_sellers__2[[#This Row],[rating]]&gt;=4, "Good ", Computed_insight___Success_of_active_sellers__2[[#This Row],[rating]]&gt;=3.5, "Average", TRUE, "Poor ")</f>
        <v xml:space="preserve">Good </v>
      </c>
      <c r="Q231" s="2" t="str" cm="1">
        <f t="array" ref="Q23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31" s="2" t="str">
        <f>IF(Computed_insight___Success_of_active_sellers__2[[#This Row],[totalurgencycount]]&gt;0, "Has Banner", "No Banner")</f>
        <v>Has Banner</v>
      </c>
    </row>
    <row r="232" spans="1:18" x14ac:dyDescent="0.3">
      <c r="A232">
        <v>230</v>
      </c>
      <c r="B232" t="s">
        <v>630</v>
      </c>
      <c r="C232">
        <v>1</v>
      </c>
      <c r="D232">
        <v>10000</v>
      </c>
      <c r="E232">
        <v>10000</v>
      </c>
      <c r="F232">
        <v>4.3220000000000001</v>
      </c>
      <c r="G232">
        <v>1659</v>
      </c>
      <c r="H232">
        <v>8</v>
      </c>
      <c r="I232">
        <v>47</v>
      </c>
      <c r="J232">
        <v>83</v>
      </c>
      <c r="K232">
        <v>83</v>
      </c>
      <c r="L232">
        <v>1631</v>
      </c>
      <c r="O232" s="2" t="str" cm="1">
        <f t="array" ref="O23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32" s="2" t="str" cm="1">
        <f t="array" ref="P232">_xlfn.IFS(Computed_insight___Success_of_active_sellers__2[[#This Row],[rating]]&gt;=4.5, "Excellent ", Computed_insight___Success_of_active_sellers__2[[#This Row],[rating]]&gt;=4, "Good ", Computed_insight___Success_of_active_sellers__2[[#This Row],[rating]]&gt;=3.5, "Average", TRUE, "Poor ")</f>
        <v xml:space="preserve">Good </v>
      </c>
      <c r="Q232" s="2" t="str" cm="1">
        <f t="array" ref="Q23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32" s="2" t="str">
        <f>IF(Computed_insight___Success_of_active_sellers__2[[#This Row],[totalurgencycount]]&gt;0, "Has Banner", "No Banner")</f>
        <v>No Banner</v>
      </c>
    </row>
    <row r="233" spans="1:18" x14ac:dyDescent="0.3">
      <c r="A233">
        <v>231</v>
      </c>
      <c r="B233" t="s">
        <v>467</v>
      </c>
      <c r="C233">
        <v>1</v>
      </c>
      <c r="D233">
        <v>10000</v>
      </c>
      <c r="E233">
        <v>10000</v>
      </c>
      <c r="F233">
        <v>4.3239999999999998</v>
      </c>
      <c r="G233">
        <v>2736</v>
      </c>
      <c r="H233">
        <v>6</v>
      </c>
      <c r="I233">
        <v>6</v>
      </c>
      <c r="J233">
        <v>0</v>
      </c>
      <c r="K233">
        <v>0</v>
      </c>
      <c r="L233">
        <v>1669</v>
      </c>
      <c r="O233" s="2" t="str" cm="1">
        <f t="array" ref="O23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33" s="2" t="str" cm="1">
        <f t="array" ref="P233">_xlfn.IFS(Computed_insight___Success_of_active_sellers__2[[#This Row],[rating]]&gt;=4.5, "Excellent ", Computed_insight___Success_of_active_sellers__2[[#This Row],[rating]]&gt;=4, "Good ", Computed_insight___Success_of_active_sellers__2[[#This Row],[rating]]&gt;=3.5, "Average", TRUE, "Poor ")</f>
        <v xml:space="preserve">Good </v>
      </c>
      <c r="Q233" s="2" t="str" cm="1">
        <f t="array" ref="Q23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33" s="2" t="str">
        <f>IF(Computed_insight___Success_of_active_sellers__2[[#This Row],[totalurgencycount]]&gt;0, "Has Banner", "No Banner")</f>
        <v>No Banner</v>
      </c>
    </row>
    <row r="234" spans="1:18" x14ac:dyDescent="0.3">
      <c r="A234">
        <v>232</v>
      </c>
      <c r="B234" t="s">
        <v>614</v>
      </c>
      <c r="C234">
        <v>1</v>
      </c>
      <c r="D234">
        <v>10000</v>
      </c>
      <c r="E234">
        <v>10000</v>
      </c>
      <c r="F234">
        <v>4.343</v>
      </c>
      <c r="G234">
        <v>16091</v>
      </c>
      <c r="H234">
        <v>9</v>
      </c>
      <c r="I234">
        <v>17</v>
      </c>
      <c r="J234">
        <v>48</v>
      </c>
      <c r="K234">
        <v>48</v>
      </c>
      <c r="L234">
        <v>2253</v>
      </c>
      <c r="O234" s="2" t="str" cm="1">
        <f t="array" ref="O23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34" s="2" t="str" cm="1">
        <f t="array" ref="P234">_xlfn.IFS(Computed_insight___Success_of_active_sellers__2[[#This Row],[rating]]&gt;=4.5, "Excellent ", Computed_insight___Success_of_active_sellers__2[[#This Row],[rating]]&gt;=4, "Good ", Computed_insight___Success_of_active_sellers__2[[#This Row],[rating]]&gt;=3.5, "Average", TRUE, "Poor ")</f>
        <v xml:space="preserve">Good </v>
      </c>
      <c r="Q234" s="2" t="str" cm="1">
        <f t="array" ref="Q234">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34" s="2" t="str">
        <f>IF(Computed_insight___Success_of_active_sellers__2[[#This Row],[totalurgencycount]]&gt;0, "Has Banner", "No Banner")</f>
        <v>No Banner</v>
      </c>
    </row>
    <row r="235" spans="1:18" x14ac:dyDescent="0.3">
      <c r="A235">
        <v>233</v>
      </c>
      <c r="B235" t="s">
        <v>111</v>
      </c>
      <c r="C235">
        <v>1</v>
      </c>
      <c r="D235">
        <v>10000</v>
      </c>
      <c r="E235">
        <v>10000</v>
      </c>
      <c r="F235">
        <v>4.3529999999999998</v>
      </c>
      <c r="G235">
        <v>12881</v>
      </c>
      <c r="H235">
        <v>17</v>
      </c>
      <c r="I235">
        <v>15</v>
      </c>
      <c r="J235">
        <v>-13</v>
      </c>
      <c r="K235">
        <v>-13</v>
      </c>
      <c r="L235">
        <v>3040</v>
      </c>
      <c r="O235" s="2" t="str" cm="1">
        <f t="array" ref="O23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35" s="2" t="str" cm="1">
        <f t="array" ref="P235">_xlfn.IFS(Computed_insight___Success_of_active_sellers__2[[#This Row],[rating]]&gt;=4.5, "Excellent ", Computed_insight___Success_of_active_sellers__2[[#This Row],[rating]]&gt;=4, "Good ", Computed_insight___Success_of_active_sellers__2[[#This Row],[rating]]&gt;=3.5, "Average", TRUE, "Poor ")</f>
        <v xml:space="preserve">Good </v>
      </c>
      <c r="Q235" s="2" t="str" cm="1">
        <f t="array" ref="Q23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35" s="2" t="str">
        <f>IF(Computed_insight___Success_of_active_sellers__2[[#This Row],[totalurgencycount]]&gt;0, "Has Banner", "No Banner")</f>
        <v>No Banner</v>
      </c>
    </row>
    <row r="236" spans="1:18" x14ac:dyDescent="0.3">
      <c r="A236">
        <v>234</v>
      </c>
      <c r="B236" t="s">
        <v>416</v>
      </c>
      <c r="C236">
        <v>1</v>
      </c>
      <c r="D236">
        <v>10000</v>
      </c>
      <c r="E236">
        <v>10000</v>
      </c>
      <c r="F236">
        <v>4.3559999999999999</v>
      </c>
      <c r="G236">
        <v>2174765</v>
      </c>
      <c r="H236">
        <v>5.66</v>
      </c>
      <c r="I236">
        <v>5</v>
      </c>
      <c r="J236">
        <v>-13</v>
      </c>
      <c r="K236">
        <v>-13</v>
      </c>
      <c r="L236">
        <v>2068</v>
      </c>
      <c r="O236" s="2" t="str" cm="1">
        <f t="array" ref="O23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36" s="2" t="str" cm="1">
        <f t="array" ref="P236">_xlfn.IFS(Computed_insight___Success_of_active_sellers__2[[#This Row],[rating]]&gt;=4.5, "Excellent ", Computed_insight___Success_of_active_sellers__2[[#This Row],[rating]]&gt;=4, "Good ", Computed_insight___Success_of_active_sellers__2[[#This Row],[rating]]&gt;=3.5, "Average", TRUE, "Poor ")</f>
        <v xml:space="preserve">Good </v>
      </c>
      <c r="Q236" s="2" t="str" cm="1">
        <f t="array" ref="Q23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36" s="2" t="str">
        <f>IF(Computed_insight___Success_of_active_sellers__2[[#This Row],[totalurgencycount]]&gt;0, "Has Banner", "No Banner")</f>
        <v>No Banner</v>
      </c>
    </row>
    <row r="237" spans="1:18" x14ac:dyDescent="0.3">
      <c r="A237">
        <v>235</v>
      </c>
      <c r="B237" t="s">
        <v>489</v>
      </c>
      <c r="C237">
        <v>1</v>
      </c>
      <c r="D237">
        <v>10000</v>
      </c>
      <c r="E237">
        <v>10000</v>
      </c>
      <c r="F237">
        <v>4.3949999999999996</v>
      </c>
      <c r="G237">
        <v>85562</v>
      </c>
      <c r="H237">
        <v>4.66</v>
      </c>
      <c r="I237">
        <v>5</v>
      </c>
      <c r="J237">
        <v>7</v>
      </c>
      <c r="K237">
        <v>7</v>
      </c>
      <c r="L237">
        <v>1594</v>
      </c>
      <c r="O237" s="2" t="str" cm="1">
        <f t="array" ref="O23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37" s="2" t="str" cm="1">
        <f t="array" ref="P237">_xlfn.IFS(Computed_insight___Success_of_active_sellers__2[[#This Row],[rating]]&gt;=4.5, "Excellent ", Computed_insight___Success_of_active_sellers__2[[#This Row],[rating]]&gt;=4, "Good ", Computed_insight___Success_of_active_sellers__2[[#This Row],[rating]]&gt;=3.5, "Average", TRUE, "Poor ")</f>
        <v xml:space="preserve">Good </v>
      </c>
      <c r="Q237" s="2" t="str" cm="1">
        <f t="array" ref="Q237">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237" s="2" t="str">
        <f>IF(Computed_insight___Success_of_active_sellers__2[[#This Row],[totalurgencycount]]&gt;0, "Has Banner", "No Banner")</f>
        <v>No Banner</v>
      </c>
    </row>
    <row r="238" spans="1:18" x14ac:dyDescent="0.3">
      <c r="A238">
        <v>236</v>
      </c>
      <c r="B238" t="s">
        <v>175</v>
      </c>
      <c r="C238">
        <v>1</v>
      </c>
      <c r="D238">
        <v>10000</v>
      </c>
      <c r="E238">
        <v>10000</v>
      </c>
      <c r="F238">
        <v>4.3959999999999999</v>
      </c>
      <c r="G238">
        <v>11333</v>
      </c>
      <c r="H238">
        <v>3.67</v>
      </c>
      <c r="I238">
        <v>4</v>
      </c>
      <c r="J238">
        <v>9</v>
      </c>
      <c r="K238">
        <v>9</v>
      </c>
      <c r="L238">
        <v>2072</v>
      </c>
      <c r="O238" s="2" t="str" cm="1">
        <f t="array" ref="O23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38" s="2" t="str" cm="1">
        <f t="array" ref="P238">_xlfn.IFS(Computed_insight___Success_of_active_sellers__2[[#This Row],[rating]]&gt;=4.5, "Excellent ", Computed_insight___Success_of_active_sellers__2[[#This Row],[rating]]&gt;=4, "Good ", Computed_insight___Success_of_active_sellers__2[[#This Row],[rating]]&gt;=3.5, "Average", TRUE, "Poor ")</f>
        <v xml:space="preserve">Good </v>
      </c>
      <c r="Q238" s="2" t="str" cm="1">
        <f t="array" ref="Q238">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238" s="2" t="str">
        <f>IF(Computed_insight___Success_of_active_sellers__2[[#This Row],[totalurgencycount]]&gt;0, "Has Banner", "No Banner")</f>
        <v>No Banner</v>
      </c>
    </row>
    <row r="239" spans="1:18" x14ac:dyDescent="0.3">
      <c r="A239">
        <v>237</v>
      </c>
      <c r="B239" t="s">
        <v>259</v>
      </c>
      <c r="C239">
        <v>2</v>
      </c>
      <c r="D239">
        <v>10000</v>
      </c>
      <c r="E239">
        <v>5000</v>
      </c>
      <c r="F239">
        <v>3.7749999999999999</v>
      </c>
      <c r="G239">
        <v>6876</v>
      </c>
      <c r="H239">
        <v>8.5</v>
      </c>
      <c r="I239">
        <v>8</v>
      </c>
      <c r="J239">
        <v>-4</v>
      </c>
      <c r="K239">
        <v>-4.5</v>
      </c>
      <c r="L239">
        <v>486</v>
      </c>
      <c r="M239">
        <v>1</v>
      </c>
      <c r="N239">
        <v>50</v>
      </c>
      <c r="O239" s="2" t="str" cm="1">
        <f t="array" ref="O23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39" s="2" t="str" cm="1">
        <f t="array" ref="P239">_xlfn.IFS(Computed_insight___Success_of_active_sellers__2[[#This Row],[rating]]&gt;=4.5, "Excellent ", Computed_insight___Success_of_active_sellers__2[[#This Row],[rating]]&gt;=4, "Good ", Computed_insight___Success_of_active_sellers__2[[#This Row],[rating]]&gt;=3.5, "Average", TRUE, "Poor ")</f>
        <v>Average</v>
      </c>
      <c r="Q239" s="2" t="str" cm="1">
        <f t="array" ref="Q23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39" s="2" t="str">
        <f>IF(Computed_insight___Success_of_active_sellers__2[[#This Row],[totalurgencycount]]&gt;0, "Has Banner", "No Banner")</f>
        <v>Has Banner</v>
      </c>
    </row>
    <row r="240" spans="1:18" x14ac:dyDescent="0.3">
      <c r="A240">
        <v>238</v>
      </c>
      <c r="B240" t="s">
        <v>553</v>
      </c>
      <c r="C240">
        <v>2</v>
      </c>
      <c r="D240">
        <v>10000</v>
      </c>
      <c r="E240">
        <v>5000</v>
      </c>
      <c r="F240">
        <v>3.8180000000000001</v>
      </c>
      <c r="G240">
        <v>2127</v>
      </c>
      <c r="H240">
        <v>8.5</v>
      </c>
      <c r="I240">
        <v>8</v>
      </c>
      <c r="J240">
        <v>-5</v>
      </c>
      <c r="K240">
        <v>-5</v>
      </c>
      <c r="L240">
        <v>707</v>
      </c>
      <c r="O240" s="2" t="str" cm="1">
        <f t="array" ref="O24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40" s="2" t="str" cm="1">
        <f t="array" ref="P240">_xlfn.IFS(Computed_insight___Success_of_active_sellers__2[[#This Row],[rating]]&gt;=4.5, "Excellent ", Computed_insight___Success_of_active_sellers__2[[#This Row],[rating]]&gt;=4, "Good ", Computed_insight___Success_of_active_sellers__2[[#This Row],[rating]]&gt;=3.5, "Average", TRUE, "Poor ")</f>
        <v>Average</v>
      </c>
      <c r="Q240" s="2" t="str" cm="1">
        <f t="array" ref="Q24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40" s="2" t="str">
        <f>IF(Computed_insight___Success_of_active_sellers__2[[#This Row],[totalurgencycount]]&gt;0, "Has Banner", "No Banner")</f>
        <v>No Banner</v>
      </c>
    </row>
    <row r="241" spans="1:18" x14ac:dyDescent="0.3">
      <c r="A241">
        <v>239</v>
      </c>
      <c r="B241" t="s">
        <v>816</v>
      </c>
      <c r="C241">
        <v>2</v>
      </c>
      <c r="D241">
        <v>10000</v>
      </c>
      <c r="E241">
        <v>5000</v>
      </c>
      <c r="F241">
        <v>3.88</v>
      </c>
      <c r="G241">
        <v>20037</v>
      </c>
      <c r="H241">
        <v>11</v>
      </c>
      <c r="I241">
        <v>10</v>
      </c>
      <c r="J241">
        <v>-10</v>
      </c>
      <c r="K241">
        <v>-10</v>
      </c>
      <c r="L241">
        <v>402</v>
      </c>
      <c r="M241">
        <v>1</v>
      </c>
      <c r="N241">
        <v>50</v>
      </c>
      <c r="O241" s="2" t="str" cm="1">
        <f t="array" ref="O24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41" s="2" t="str" cm="1">
        <f t="array" ref="P241">_xlfn.IFS(Computed_insight___Success_of_active_sellers__2[[#This Row],[rating]]&gt;=4.5, "Excellent ", Computed_insight___Success_of_active_sellers__2[[#This Row],[rating]]&gt;=4, "Good ", Computed_insight___Success_of_active_sellers__2[[#This Row],[rating]]&gt;=3.5, "Average", TRUE, "Poor ")</f>
        <v>Average</v>
      </c>
      <c r="Q241" s="2" t="str" cm="1">
        <f t="array" ref="Q24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41" s="2" t="str">
        <f>IF(Computed_insight___Success_of_active_sellers__2[[#This Row],[totalurgencycount]]&gt;0, "Has Banner", "No Banner")</f>
        <v>Has Banner</v>
      </c>
    </row>
    <row r="242" spans="1:18" x14ac:dyDescent="0.3">
      <c r="A242">
        <v>240</v>
      </c>
      <c r="B242" t="s">
        <v>247</v>
      </c>
      <c r="C242">
        <v>2</v>
      </c>
      <c r="D242">
        <v>10000</v>
      </c>
      <c r="E242">
        <v>5000</v>
      </c>
      <c r="F242">
        <v>4.048</v>
      </c>
      <c r="G242">
        <v>32778</v>
      </c>
      <c r="H242">
        <v>5</v>
      </c>
      <c r="I242">
        <v>6</v>
      </c>
      <c r="J242">
        <v>17</v>
      </c>
      <c r="K242">
        <v>17</v>
      </c>
      <c r="L242">
        <v>824</v>
      </c>
      <c r="M242">
        <v>1</v>
      </c>
      <c r="N242">
        <v>50</v>
      </c>
      <c r="O242" s="2" t="str" cm="1">
        <f t="array" ref="O24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42" s="2" t="str" cm="1">
        <f t="array" ref="P242">_xlfn.IFS(Computed_insight___Success_of_active_sellers__2[[#This Row],[rating]]&gt;=4.5, "Excellent ", Computed_insight___Success_of_active_sellers__2[[#This Row],[rating]]&gt;=4, "Good ", Computed_insight___Success_of_active_sellers__2[[#This Row],[rating]]&gt;=3.5, "Average", TRUE, "Poor ")</f>
        <v xml:space="preserve">Good </v>
      </c>
      <c r="Q242" s="2" t="str" cm="1">
        <f t="array" ref="Q242">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242" s="2" t="str">
        <f>IF(Computed_insight___Success_of_active_sellers__2[[#This Row],[totalurgencycount]]&gt;0, "Has Banner", "No Banner")</f>
        <v>Has Banner</v>
      </c>
    </row>
    <row r="243" spans="1:18" x14ac:dyDescent="0.3">
      <c r="A243">
        <v>241</v>
      </c>
      <c r="B243" t="s">
        <v>456</v>
      </c>
      <c r="C243">
        <v>2</v>
      </c>
      <c r="D243">
        <v>10000</v>
      </c>
      <c r="E243">
        <v>5000</v>
      </c>
      <c r="F243">
        <v>4.07</v>
      </c>
      <c r="G243">
        <v>5019</v>
      </c>
      <c r="H243">
        <v>5</v>
      </c>
      <c r="I243">
        <v>8</v>
      </c>
      <c r="J243">
        <v>38</v>
      </c>
      <c r="K243">
        <v>38</v>
      </c>
      <c r="L243">
        <v>747</v>
      </c>
      <c r="M243">
        <v>1</v>
      </c>
      <c r="N243">
        <v>50</v>
      </c>
      <c r="O243" s="2" t="str" cm="1">
        <f t="array" ref="O24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43" s="2" t="str" cm="1">
        <f t="array" ref="P243">_xlfn.IFS(Computed_insight___Success_of_active_sellers__2[[#This Row],[rating]]&gt;=4.5, "Excellent ", Computed_insight___Success_of_active_sellers__2[[#This Row],[rating]]&gt;=4, "Good ", Computed_insight___Success_of_active_sellers__2[[#This Row],[rating]]&gt;=3.5, "Average", TRUE, "Poor ")</f>
        <v xml:space="preserve">Good </v>
      </c>
      <c r="Q243" s="2" t="str" cm="1">
        <f t="array" ref="Q243">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43" s="2" t="str">
        <f>IF(Computed_insight___Success_of_active_sellers__2[[#This Row],[totalurgencycount]]&gt;0, "Has Banner", "No Banner")</f>
        <v>Has Banner</v>
      </c>
    </row>
    <row r="244" spans="1:18" x14ac:dyDescent="0.3">
      <c r="A244">
        <v>242</v>
      </c>
      <c r="B244" t="s">
        <v>407</v>
      </c>
      <c r="C244">
        <v>2</v>
      </c>
      <c r="D244">
        <v>10000</v>
      </c>
      <c r="E244">
        <v>5000</v>
      </c>
      <c r="F244">
        <v>4.0819999999999999</v>
      </c>
      <c r="G244">
        <v>8547</v>
      </c>
      <c r="H244">
        <v>7</v>
      </c>
      <c r="I244">
        <v>159</v>
      </c>
      <c r="J244">
        <v>96</v>
      </c>
      <c r="K244">
        <v>96</v>
      </c>
      <c r="L244">
        <v>1632</v>
      </c>
      <c r="M244">
        <v>1</v>
      </c>
      <c r="N244">
        <v>50</v>
      </c>
      <c r="O244" s="2" t="str" cm="1">
        <f t="array" ref="O24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44" s="2" t="str" cm="1">
        <f t="array" ref="P244">_xlfn.IFS(Computed_insight___Success_of_active_sellers__2[[#This Row],[rating]]&gt;=4.5, "Excellent ", Computed_insight___Success_of_active_sellers__2[[#This Row],[rating]]&gt;=4, "Good ", Computed_insight___Success_of_active_sellers__2[[#This Row],[rating]]&gt;=3.5, "Average", TRUE, "Poor ")</f>
        <v xml:space="preserve">Good </v>
      </c>
      <c r="Q244" s="2" t="str" cm="1">
        <f t="array" ref="Q24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44" s="2" t="str">
        <f>IF(Computed_insight___Success_of_active_sellers__2[[#This Row],[totalurgencycount]]&gt;0, "Has Banner", "No Banner")</f>
        <v>Has Banner</v>
      </c>
    </row>
    <row r="245" spans="1:18" x14ac:dyDescent="0.3">
      <c r="A245">
        <v>243</v>
      </c>
      <c r="B245" t="s">
        <v>547</v>
      </c>
      <c r="C245">
        <v>2</v>
      </c>
      <c r="D245">
        <v>10000</v>
      </c>
      <c r="E245">
        <v>5000</v>
      </c>
      <c r="F245">
        <v>4.1059999999999999</v>
      </c>
      <c r="G245">
        <v>31916</v>
      </c>
      <c r="H245">
        <v>13</v>
      </c>
      <c r="I245">
        <v>11.5</v>
      </c>
      <c r="J245">
        <v>-12</v>
      </c>
      <c r="K245">
        <v>-12.5</v>
      </c>
      <c r="L245">
        <v>1055</v>
      </c>
      <c r="O245" s="2" t="str" cm="1">
        <f t="array" ref="O24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45" s="2" t="str" cm="1">
        <f t="array" ref="P245">_xlfn.IFS(Computed_insight___Success_of_active_sellers__2[[#This Row],[rating]]&gt;=4.5, "Excellent ", Computed_insight___Success_of_active_sellers__2[[#This Row],[rating]]&gt;=4, "Good ", Computed_insight___Success_of_active_sellers__2[[#This Row],[rating]]&gt;=3.5, "Average", TRUE, "Poor ")</f>
        <v xml:space="preserve">Good </v>
      </c>
      <c r="Q245" s="2" t="str" cm="1">
        <f t="array" ref="Q24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45" s="2" t="str">
        <f>IF(Computed_insight___Success_of_active_sellers__2[[#This Row],[totalurgencycount]]&gt;0, "Has Banner", "No Banner")</f>
        <v>No Banner</v>
      </c>
    </row>
    <row r="246" spans="1:18" x14ac:dyDescent="0.3">
      <c r="A246">
        <v>244</v>
      </c>
      <c r="B246" t="s">
        <v>140</v>
      </c>
      <c r="C246">
        <v>2</v>
      </c>
      <c r="D246">
        <v>10000</v>
      </c>
      <c r="E246">
        <v>5000</v>
      </c>
      <c r="F246">
        <v>4.1239999999999997</v>
      </c>
      <c r="G246">
        <v>13127</v>
      </c>
      <c r="H246">
        <v>10</v>
      </c>
      <c r="I246">
        <v>18</v>
      </c>
      <c r="J246">
        <v>30</v>
      </c>
      <c r="K246">
        <v>29.5</v>
      </c>
      <c r="L246">
        <v>275</v>
      </c>
      <c r="M246">
        <v>1</v>
      </c>
      <c r="N246">
        <v>50</v>
      </c>
      <c r="O246" s="2" t="str" cm="1">
        <f t="array" ref="O24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46" s="2" t="str" cm="1">
        <f t="array" ref="P246">_xlfn.IFS(Computed_insight___Success_of_active_sellers__2[[#This Row],[rating]]&gt;=4.5, "Excellent ", Computed_insight___Success_of_active_sellers__2[[#This Row],[rating]]&gt;=4, "Good ", Computed_insight___Success_of_active_sellers__2[[#This Row],[rating]]&gt;=3.5, "Average", TRUE, "Poor ")</f>
        <v xml:space="preserve">Good </v>
      </c>
      <c r="Q246" s="2" t="str" cm="1">
        <f t="array" ref="Q246">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46" s="2" t="str">
        <f>IF(Computed_insight___Success_of_active_sellers__2[[#This Row],[totalurgencycount]]&gt;0, "Has Banner", "No Banner")</f>
        <v>Has Banner</v>
      </c>
    </row>
    <row r="247" spans="1:18" x14ac:dyDescent="0.3">
      <c r="A247">
        <v>245</v>
      </c>
      <c r="B247" t="s">
        <v>323</v>
      </c>
      <c r="C247">
        <v>2</v>
      </c>
      <c r="D247">
        <v>10000</v>
      </c>
      <c r="E247">
        <v>5000</v>
      </c>
      <c r="F247">
        <v>4.2169999999999996</v>
      </c>
      <c r="G247">
        <v>8242</v>
      </c>
      <c r="H247">
        <v>7</v>
      </c>
      <c r="I247">
        <v>26</v>
      </c>
      <c r="J247">
        <v>74</v>
      </c>
      <c r="K247">
        <v>74</v>
      </c>
      <c r="L247">
        <v>542</v>
      </c>
      <c r="M247">
        <v>1</v>
      </c>
      <c r="N247">
        <v>50</v>
      </c>
      <c r="O247" s="2" t="str" cm="1">
        <f t="array" ref="O24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47" s="2" t="str" cm="1">
        <f t="array" ref="P247">_xlfn.IFS(Computed_insight___Success_of_active_sellers__2[[#This Row],[rating]]&gt;=4.5, "Excellent ", Computed_insight___Success_of_active_sellers__2[[#This Row],[rating]]&gt;=4, "Good ", Computed_insight___Success_of_active_sellers__2[[#This Row],[rating]]&gt;=3.5, "Average", TRUE, "Poor ")</f>
        <v xml:space="preserve">Good </v>
      </c>
      <c r="Q247" s="2" t="str" cm="1">
        <f t="array" ref="Q24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47" s="2" t="str">
        <f>IF(Computed_insight___Success_of_active_sellers__2[[#This Row],[totalurgencycount]]&gt;0, "Has Banner", "No Banner")</f>
        <v>Has Banner</v>
      </c>
    </row>
    <row r="248" spans="1:18" x14ac:dyDescent="0.3">
      <c r="A248">
        <v>246</v>
      </c>
      <c r="B248" t="s">
        <v>98</v>
      </c>
      <c r="C248">
        <v>2</v>
      </c>
      <c r="D248">
        <v>10000</v>
      </c>
      <c r="E248">
        <v>5000</v>
      </c>
      <c r="F248">
        <v>4.2859999999999996</v>
      </c>
      <c r="G248">
        <v>99283</v>
      </c>
      <c r="H248">
        <v>4.75</v>
      </c>
      <c r="I248">
        <v>4.5</v>
      </c>
      <c r="J248">
        <v>-4</v>
      </c>
      <c r="K248">
        <v>-4</v>
      </c>
      <c r="L248">
        <v>749</v>
      </c>
      <c r="M248">
        <v>1</v>
      </c>
      <c r="N248">
        <v>50</v>
      </c>
      <c r="O248" s="2" t="str" cm="1">
        <f t="array" ref="O24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48" s="2" t="str" cm="1">
        <f t="array" ref="P248">_xlfn.IFS(Computed_insight___Success_of_active_sellers__2[[#This Row],[rating]]&gt;=4.5, "Excellent ", Computed_insight___Success_of_active_sellers__2[[#This Row],[rating]]&gt;=4, "Good ", Computed_insight___Success_of_active_sellers__2[[#This Row],[rating]]&gt;=3.5, "Average", TRUE, "Poor ")</f>
        <v xml:space="preserve">Good </v>
      </c>
      <c r="Q248" s="2" t="str" cm="1">
        <f t="array" ref="Q24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48" s="2" t="str">
        <f>IF(Computed_insight___Success_of_active_sellers__2[[#This Row],[totalurgencycount]]&gt;0, "Has Banner", "No Banner")</f>
        <v>Has Banner</v>
      </c>
    </row>
    <row r="249" spans="1:18" x14ac:dyDescent="0.3">
      <c r="A249">
        <v>247</v>
      </c>
      <c r="B249" t="s">
        <v>359</v>
      </c>
      <c r="C249">
        <v>4</v>
      </c>
      <c r="D249">
        <v>8000</v>
      </c>
      <c r="E249">
        <v>2000</v>
      </c>
      <c r="F249">
        <v>3.9540000000000002</v>
      </c>
      <c r="G249">
        <v>73271</v>
      </c>
      <c r="H249">
        <v>9.75</v>
      </c>
      <c r="I249">
        <v>11.25</v>
      </c>
      <c r="J249">
        <v>5</v>
      </c>
      <c r="K249">
        <v>5.25</v>
      </c>
      <c r="L249">
        <v>563</v>
      </c>
      <c r="M249">
        <v>1</v>
      </c>
      <c r="N249">
        <v>25</v>
      </c>
      <c r="O249" s="2" t="str" cm="1">
        <f t="array" ref="O24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49" s="2" t="str" cm="1">
        <f t="array" ref="P249">_xlfn.IFS(Computed_insight___Success_of_active_sellers__2[[#This Row],[rating]]&gt;=4.5, "Excellent ", Computed_insight___Success_of_active_sellers__2[[#This Row],[rating]]&gt;=4, "Good ", Computed_insight___Success_of_active_sellers__2[[#This Row],[rating]]&gt;=3.5, "Average", TRUE, "Poor ")</f>
        <v>Average</v>
      </c>
      <c r="Q249" s="2" t="str" cm="1">
        <f t="array" ref="Q249">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249" s="2" t="str">
        <f>IF(Computed_insight___Success_of_active_sellers__2[[#This Row],[totalurgencycount]]&gt;0, "Has Banner", "No Banner")</f>
        <v>Has Banner</v>
      </c>
    </row>
    <row r="250" spans="1:18" x14ac:dyDescent="0.3">
      <c r="A250">
        <v>248</v>
      </c>
      <c r="B250" t="s">
        <v>21</v>
      </c>
      <c r="C250">
        <v>3</v>
      </c>
      <c r="D250">
        <v>7000</v>
      </c>
      <c r="E250">
        <v>2333</v>
      </c>
      <c r="F250">
        <v>4.0620000000000003</v>
      </c>
      <c r="G250">
        <v>3592</v>
      </c>
      <c r="H250">
        <v>8.67</v>
      </c>
      <c r="I250">
        <v>24.33</v>
      </c>
      <c r="J250">
        <v>27</v>
      </c>
      <c r="K250">
        <v>26.67</v>
      </c>
      <c r="L250">
        <v>266</v>
      </c>
      <c r="M250">
        <v>1</v>
      </c>
      <c r="N250">
        <v>33</v>
      </c>
      <c r="O250" s="2" t="str" cm="1">
        <f t="array" ref="O25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50" s="2" t="str" cm="1">
        <f t="array" ref="P250">_xlfn.IFS(Computed_insight___Success_of_active_sellers__2[[#This Row],[rating]]&gt;=4.5, "Excellent ", Computed_insight___Success_of_active_sellers__2[[#This Row],[rating]]&gt;=4, "Good ", Computed_insight___Success_of_active_sellers__2[[#This Row],[rating]]&gt;=3.5, "Average", TRUE, "Poor ")</f>
        <v xml:space="preserve">Good </v>
      </c>
      <c r="Q250" s="2" t="str" cm="1">
        <f t="array" ref="Q250">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50" s="2" t="str">
        <f>IF(Computed_insight___Success_of_active_sellers__2[[#This Row],[totalurgencycount]]&gt;0, "Has Banner", "No Banner")</f>
        <v>Has Banner</v>
      </c>
    </row>
    <row r="251" spans="1:18" x14ac:dyDescent="0.3">
      <c r="A251">
        <v>249</v>
      </c>
      <c r="B251" t="s">
        <v>617</v>
      </c>
      <c r="C251">
        <v>3</v>
      </c>
      <c r="D251">
        <v>7000</v>
      </c>
      <c r="E251">
        <v>2333</v>
      </c>
      <c r="F251">
        <v>4.08</v>
      </c>
      <c r="G251">
        <v>50864</v>
      </c>
      <c r="H251">
        <v>6.27</v>
      </c>
      <c r="I251">
        <v>14.33</v>
      </c>
      <c r="J251">
        <v>43</v>
      </c>
      <c r="K251">
        <v>43.33</v>
      </c>
      <c r="L251">
        <v>432</v>
      </c>
      <c r="O251" s="2" t="str" cm="1">
        <f t="array" ref="O25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51" s="2" t="str" cm="1">
        <f t="array" ref="P251">_xlfn.IFS(Computed_insight___Success_of_active_sellers__2[[#This Row],[rating]]&gt;=4.5, "Excellent ", Computed_insight___Success_of_active_sellers__2[[#This Row],[rating]]&gt;=4, "Good ", Computed_insight___Success_of_active_sellers__2[[#This Row],[rating]]&gt;=3.5, "Average", TRUE, "Poor ")</f>
        <v xml:space="preserve">Good </v>
      </c>
      <c r="Q251" s="2" t="str" cm="1">
        <f t="array" ref="Q251">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51" s="2" t="str">
        <f>IF(Computed_insight___Success_of_active_sellers__2[[#This Row],[totalurgencycount]]&gt;0, "Has Banner", "No Banner")</f>
        <v>No Banner</v>
      </c>
    </row>
    <row r="252" spans="1:18" x14ac:dyDescent="0.3">
      <c r="A252">
        <v>250</v>
      </c>
      <c r="B252" t="s">
        <v>681</v>
      </c>
      <c r="C252">
        <v>3</v>
      </c>
      <c r="D252">
        <v>7000</v>
      </c>
      <c r="E252">
        <v>2333</v>
      </c>
      <c r="F252">
        <v>4.1470000000000002</v>
      </c>
      <c r="G252">
        <v>5042</v>
      </c>
      <c r="H252">
        <v>10.33</v>
      </c>
      <c r="I252">
        <v>27</v>
      </c>
      <c r="J252">
        <v>36</v>
      </c>
      <c r="K252">
        <v>36.33</v>
      </c>
      <c r="L252">
        <v>433</v>
      </c>
      <c r="O252" s="2" t="str" cm="1">
        <f t="array" ref="O25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52" s="2" t="str" cm="1">
        <f t="array" ref="P252">_xlfn.IFS(Computed_insight___Success_of_active_sellers__2[[#This Row],[rating]]&gt;=4.5, "Excellent ", Computed_insight___Success_of_active_sellers__2[[#This Row],[rating]]&gt;=4, "Good ", Computed_insight___Success_of_active_sellers__2[[#This Row],[rating]]&gt;=3.5, "Average", TRUE, "Poor ")</f>
        <v xml:space="preserve">Good </v>
      </c>
      <c r="Q252" s="2" t="str" cm="1">
        <f t="array" ref="Q252">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52" s="2" t="str">
        <f>IF(Computed_insight___Success_of_active_sellers__2[[#This Row],[totalurgencycount]]&gt;0, "Has Banner", "No Banner")</f>
        <v>No Banner</v>
      </c>
    </row>
    <row r="253" spans="1:18" x14ac:dyDescent="0.3">
      <c r="A253">
        <v>251</v>
      </c>
      <c r="B253" t="s">
        <v>326</v>
      </c>
      <c r="C253">
        <v>4</v>
      </c>
      <c r="D253">
        <v>6200</v>
      </c>
      <c r="E253">
        <v>1550</v>
      </c>
      <c r="F253">
        <v>3.8580000000000001</v>
      </c>
      <c r="G253">
        <v>3053</v>
      </c>
      <c r="H253">
        <v>5.75</v>
      </c>
      <c r="I253">
        <v>5.5</v>
      </c>
      <c r="J253">
        <v>-3</v>
      </c>
      <c r="K253">
        <v>-3.5</v>
      </c>
      <c r="L253">
        <v>137</v>
      </c>
      <c r="O253" s="2" t="str" cm="1">
        <f t="array" ref="O25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53" s="2" t="str" cm="1">
        <f t="array" ref="P253">_xlfn.IFS(Computed_insight___Success_of_active_sellers__2[[#This Row],[rating]]&gt;=4.5, "Excellent ", Computed_insight___Success_of_active_sellers__2[[#This Row],[rating]]&gt;=4, "Good ", Computed_insight___Success_of_active_sellers__2[[#This Row],[rating]]&gt;=3.5, "Average", TRUE, "Poor ")</f>
        <v>Average</v>
      </c>
      <c r="Q253" s="2" t="str" cm="1">
        <f t="array" ref="Q25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53" s="2" t="str">
        <f>IF(Computed_insight___Success_of_active_sellers__2[[#This Row],[totalurgencycount]]&gt;0, "Has Banner", "No Banner")</f>
        <v>No Banner</v>
      </c>
    </row>
    <row r="254" spans="1:18" x14ac:dyDescent="0.3">
      <c r="A254">
        <v>252</v>
      </c>
      <c r="B254" t="s">
        <v>76</v>
      </c>
      <c r="C254">
        <v>4</v>
      </c>
      <c r="D254">
        <v>6200</v>
      </c>
      <c r="E254">
        <v>1550</v>
      </c>
      <c r="F254">
        <v>3.968</v>
      </c>
      <c r="G254">
        <v>7076</v>
      </c>
      <c r="H254">
        <v>8.5</v>
      </c>
      <c r="I254">
        <v>33</v>
      </c>
      <c r="J254">
        <v>36</v>
      </c>
      <c r="K254">
        <v>35.75</v>
      </c>
      <c r="L254">
        <v>193</v>
      </c>
      <c r="M254">
        <v>3</v>
      </c>
      <c r="N254">
        <v>75</v>
      </c>
      <c r="O254" s="2" t="str" cm="1">
        <f t="array" ref="O25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54" s="2" t="str" cm="1">
        <f t="array" ref="P254">_xlfn.IFS(Computed_insight___Success_of_active_sellers__2[[#This Row],[rating]]&gt;=4.5, "Excellent ", Computed_insight___Success_of_active_sellers__2[[#This Row],[rating]]&gt;=4, "Good ", Computed_insight___Success_of_active_sellers__2[[#This Row],[rating]]&gt;=3.5, "Average", TRUE, "Poor ")</f>
        <v>Average</v>
      </c>
      <c r="Q254" s="2" t="str" cm="1">
        <f t="array" ref="Q254">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54" s="2" t="str">
        <f>IF(Computed_insight___Success_of_active_sellers__2[[#This Row],[totalurgencycount]]&gt;0, "Has Banner", "No Banner")</f>
        <v>Has Banner</v>
      </c>
    </row>
    <row r="255" spans="1:18" x14ac:dyDescent="0.3">
      <c r="A255">
        <v>253</v>
      </c>
      <c r="B255" t="s">
        <v>301</v>
      </c>
      <c r="C255">
        <v>4</v>
      </c>
      <c r="D255">
        <v>6020</v>
      </c>
      <c r="E255">
        <v>1505</v>
      </c>
      <c r="F255">
        <v>3.9660000000000002</v>
      </c>
      <c r="G255">
        <v>27175</v>
      </c>
      <c r="H255">
        <v>8.9499999999999993</v>
      </c>
      <c r="I255">
        <v>42.75</v>
      </c>
      <c r="J255">
        <v>37</v>
      </c>
      <c r="K255">
        <v>37</v>
      </c>
      <c r="L255">
        <v>325</v>
      </c>
      <c r="M255">
        <v>1</v>
      </c>
      <c r="N255">
        <v>25</v>
      </c>
      <c r="O255" s="2" t="str" cm="1">
        <f t="array" ref="O25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55" s="2" t="str" cm="1">
        <f t="array" ref="P255">_xlfn.IFS(Computed_insight___Success_of_active_sellers__2[[#This Row],[rating]]&gt;=4.5, "Excellent ", Computed_insight___Success_of_active_sellers__2[[#This Row],[rating]]&gt;=4, "Good ", Computed_insight___Success_of_active_sellers__2[[#This Row],[rating]]&gt;=3.5, "Average", TRUE, "Poor ")</f>
        <v>Average</v>
      </c>
      <c r="Q255" s="2" t="str" cm="1">
        <f t="array" ref="Q255">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55" s="2" t="str">
        <f>IF(Computed_insight___Success_of_active_sellers__2[[#This Row],[totalurgencycount]]&gt;0, "Has Banner", "No Banner")</f>
        <v>Has Banner</v>
      </c>
    </row>
    <row r="256" spans="1:18" x14ac:dyDescent="0.3">
      <c r="A256">
        <v>254</v>
      </c>
      <c r="B256" t="s">
        <v>556</v>
      </c>
      <c r="C256">
        <v>3</v>
      </c>
      <c r="D256">
        <v>6010</v>
      </c>
      <c r="E256">
        <v>2003</v>
      </c>
      <c r="F256">
        <v>4.2539999999999996</v>
      </c>
      <c r="G256">
        <v>6357</v>
      </c>
      <c r="H256">
        <v>5.97</v>
      </c>
      <c r="I256">
        <v>5.33</v>
      </c>
      <c r="J256">
        <v>-11</v>
      </c>
      <c r="K256">
        <v>-10.67</v>
      </c>
      <c r="L256">
        <v>197</v>
      </c>
      <c r="M256">
        <v>2</v>
      </c>
      <c r="N256">
        <v>67</v>
      </c>
      <c r="O256" s="2" t="str" cm="1">
        <f t="array" ref="O25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56" s="2" t="str" cm="1">
        <f t="array" ref="P256">_xlfn.IFS(Computed_insight___Success_of_active_sellers__2[[#This Row],[rating]]&gt;=4.5, "Excellent ", Computed_insight___Success_of_active_sellers__2[[#This Row],[rating]]&gt;=4, "Good ", Computed_insight___Success_of_active_sellers__2[[#This Row],[rating]]&gt;=3.5, "Average", TRUE, "Poor ")</f>
        <v xml:space="preserve">Good </v>
      </c>
      <c r="Q256" s="2" t="str" cm="1">
        <f t="array" ref="Q25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56" s="2" t="str">
        <f>IF(Computed_insight___Success_of_active_sellers__2[[#This Row],[totalurgencycount]]&gt;0, "Has Banner", "No Banner")</f>
        <v>Has Banner</v>
      </c>
    </row>
    <row r="257" spans="1:18" x14ac:dyDescent="0.3">
      <c r="A257">
        <v>255</v>
      </c>
      <c r="B257" t="s">
        <v>358</v>
      </c>
      <c r="C257">
        <v>2</v>
      </c>
      <c r="D257">
        <v>6000</v>
      </c>
      <c r="E257">
        <v>3000</v>
      </c>
      <c r="F257">
        <v>3.7770000000000001</v>
      </c>
      <c r="G257">
        <v>779</v>
      </c>
      <c r="H257">
        <v>12</v>
      </c>
      <c r="I257">
        <v>11</v>
      </c>
      <c r="J257">
        <v>-9</v>
      </c>
      <c r="K257">
        <v>-9</v>
      </c>
      <c r="L257">
        <v>491</v>
      </c>
      <c r="O257" s="2" t="str" cm="1">
        <f t="array" ref="O25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57" s="2" t="str" cm="1">
        <f t="array" ref="P257">_xlfn.IFS(Computed_insight___Success_of_active_sellers__2[[#This Row],[rating]]&gt;=4.5, "Excellent ", Computed_insight___Success_of_active_sellers__2[[#This Row],[rating]]&gt;=4, "Good ", Computed_insight___Success_of_active_sellers__2[[#This Row],[rating]]&gt;=3.5, "Average", TRUE, "Poor ")</f>
        <v>Average</v>
      </c>
      <c r="Q257" s="2" t="str" cm="1">
        <f t="array" ref="Q25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57" s="2" t="str">
        <f>IF(Computed_insight___Success_of_active_sellers__2[[#This Row],[totalurgencycount]]&gt;0, "Has Banner", "No Banner")</f>
        <v>No Banner</v>
      </c>
    </row>
    <row r="258" spans="1:18" x14ac:dyDescent="0.3">
      <c r="A258">
        <v>256</v>
      </c>
      <c r="B258" t="s">
        <v>34</v>
      </c>
      <c r="C258">
        <v>2</v>
      </c>
      <c r="D258">
        <v>6000</v>
      </c>
      <c r="E258">
        <v>3000</v>
      </c>
      <c r="F258">
        <v>3.871</v>
      </c>
      <c r="G258">
        <v>3460</v>
      </c>
      <c r="H258">
        <v>7.5</v>
      </c>
      <c r="I258">
        <v>6.5</v>
      </c>
      <c r="J258">
        <v>-15</v>
      </c>
      <c r="K258">
        <v>-15</v>
      </c>
      <c r="L258">
        <v>743</v>
      </c>
      <c r="O258" s="2" t="str" cm="1">
        <f t="array" ref="O25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58" s="2" t="str" cm="1">
        <f t="array" ref="P258">_xlfn.IFS(Computed_insight___Success_of_active_sellers__2[[#This Row],[rating]]&gt;=4.5, "Excellent ", Computed_insight___Success_of_active_sellers__2[[#This Row],[rating]]&gt;=4, "Good ", Computed_insight___Success_of_active_sellers__2[[#This Row],[rating]]&gt;=3.5, "Average", TRUE, "Poor ")</f>
        <v>Average</v>
      </c>
      <c r="Q258" s="2" t="str" cm="1">
        <f t="array" ref="Q25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58" s="2" t="str">
        <f>IF(Computed_insight___Success_of_active_sellers__2[[#This Row],[totalurgencycount]]&gt;0, "Has Banner", "No Banner")</f>
        <v>No Banner</v>
      </c>
    </row>
    <row r="259" spans="1:18" x14ac:dyDescent="0.3">
      <c r="A259">
        <v>257</v>
      </c>
      <c r="B259" t="s">
        <v>147</v>
      </c>
      <c r="C259">
        <v>2</v>
      </c>
      <c r="D259">
        <v>6000</v>
      </c>
      <c r="E259">
        <v>3000</v>
      </c>
      <c r="F259">
        <v>4.1520000000000001</v>
      </c>
      <c r="G259">
        <v>5819</v>
      </c>
      <c r="H259">
        <v>9</v>
      </c>
      <c r="I259">
        <v>8</v>
      </c>
      <c r="J259">
        <v>-12</v>
      </c>
      <c r="K259">
        <v>-12</v>
      </c>
      <c r="L259">
        <v>481</v>
      </c>
      <c r="O259" s="2" t="str" cm="1">
        <f t="array" ref="O25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59" s="2" t="str" cm="1">
        <f t="array" ref="P259">_xlfn.IFS(Computed_insight___Success_of_active_sellers__2[[#This Row],[rating]]&gt;=4.5, "Excellent ", Computed_insight___Success_of_active_sellers__2[[#This Row],[rating]]&gt;=4, "Good ", Computed_insight___Success_of_active_sellers__2[[#This Row],[rating]]&gt;=3.5, "Average", TRUE, "Poor ")</f>
        <v xml:space="preserve">Good </v>
      </c>
      <c r="Q259" s="2" t="str" cm="1">
        <f t="array" ref="Q25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59" s="2" t="str">
        <f>IF(Computed_insight___Success_of_active_sellers__2[[#This Row],[totalurgencycount]]&gt;0, "Has Banner", "No Banner")</f>
        <v>No Banner</v>
      </c>
    </row>
    <row r="260" spans="1:18" x14ac:dyDescent="0.3">
      <c r="A260">
        <v>258</v>
      </c>
      <c r="B260" t="s">
        <v>395</v>
      </c>
      <c r="C260">
        <v>2</v>
      </c>
      <c r="D260">
        <v>6000</v>
      </c>
      <c r="E260">
        <v>3000</v>
      </c>
      <c r="F260">
        <v>4.194</v>
      </c>
      <c r="G260">
        <v>124563</v>
      </c>
      <c r="H260">
        <v>10</v>
      </c>
      <c r="I260">
        <v>9</v>
      </c>
      <c r="J260">
        <v>-11</v>
      </c>
      <c r="K260">
        <v>-11</v>
      </c>
      <c r="L260">
        <v>484</v>
      </c>
      <c r="O260" s="2" t="str" cm="1">
        <f t="array" ref="O26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60" s="2" t="str" cm="1">
        <f t="array" ref="P260">_xlfn.IFS(Computed_insight___Success_of_active_sellers__2[[#This Row],[rating]]&gt;=4.5, "Excellent ", Computed_insight___Success_of_active_sellers__2[[#This Row],[rating]]&gt;=4, "Good ", Computed_insight___Success_of_active_sellers__2[[#This Row],[rating]]&gt;=3.5, "Average", TRUE, "Poor ")</f>
        <v xml:space="preserve">Good </v>
      </c>
      <c r="Q260" s="2" t="str" cm="1">
        <f t="array" ref="Q26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60" s="2" t="str">
        <f>IF(Computed_insight___Success_of_active_sellers__2[[#This Row],[totalurgencycount]]&gt;0, "Has Banner", "No Banner")</f>
        <v>No Banner</v>
      </c>
    </row>
    <row r="261" spans="1:18" x14ac:dyDescent="0.3">
      <c r="A261">
        <v>259</v>
      </c>
      <c r="B261" t="s">
        <v>772</v>
      </c>
      <c r="C261">
        <v>2</v>
      </c>
      <c r="D261">
        <v>6000</v>
      </c>
      <c r="E261">
        <v>3000</v>
      </c>
      <c r="F261">
        <v>4.2229999999999999</v>
      </c>
      <c r="G261">
        <v>13884</v>
      </c>
      <c r="H261">
        <v>3.5</v>
      </c>
      <c r="I261">
        <v>3.5</v>
      </c>
      <c r="J261">
        <v>0</v>
      </c>
      <c r="K261">
        <v>0</v>
      </c>
      <c r="L261">
        <v>858</v>
      </c>
      <c r="O261" s="2" t="str" cm="1">
        <f t="array" ref="O26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61" s="2" t="str" cm="1">
        <f t="array" ref="P261">_xlfn.IFS(Computed_insight___Success_of_active_sellers__2[[#This Row],[rating]]&gt;=4.5, "Excellent ", Computed_insight___Success_of_active_sellers__2[[#This Row],[rating]]&gt;=4, "Good ", Computed_insight___Success_of_active_sellers__2[[#This Row],[rating]]&gt;=3.5, "Average", TRUE, "Poor ")</f>
        <v xml:space="preserve">Good </v>
      </c>
      <c r="Q261" s="2" t="str" cm="1">
        <f t="array" ref="Q26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61" s="2" t="str">
        <f>IF(Computed_insight___Success_of_active_sellers__2[[#This Row],[totalurgencycount]]&gt;0, "Has Banner", "No Banner")</f>
        <v>No Banner</v>
      </c>
    </row>
    <row r="262" spans="1:18" x14ac:dyDescent="0.3">
      <c r="A262">
        <v>260</v>
      </c>
      <c r="B262" t="s">
        <v>615</v>
      </c>
      <c r="C262">
        <v>2</v>
      </c>
      <c r="D262">
        <v>6000</v>
      </c>
      <c r="E262">
        <v>3000</v>
      </c>
      <c r="F262">
        <v>4.2679999999999998</v>
      </c>
      <c r="G262">
        <v>30225</v>
      </c>
      <c r="H262">
        <v>9.5</v>
      </c>
      <c r="I262">
        <v>61</v>
      </c>
      <c r="J262">
        <v>82</v>
      </c>
      <c r="K262">
        <v>81.5</v>
      </c>
      <c r="L262">
        <v>985</v>
      </c>
      <c r="M262">
        <v>1</v>
      </c>
      <c r="N262">
        <v>50</v>
      </c>
      <c r="O262" s="2" t="str" cm="1">
        <f t="array" ref="O26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62" s="2" t="str" cm="1">
        <f t="array" ref="P262">_xlfn.IFS(Computed_insight___Success_of_active_sellers__2[[#This Row],[rating]]&gt;=4.5, "Excellent ", Computed_insight___Success_of_active_sellers__2[[#This Row],[rating]]&gt;=4, "Good ", Computed_insight___Success_of_active_sellers__2[[#This Row],[rating]]&gt;=3.5, "Average", TRUE, "Poor ")</f>
        <v xml:space="preserve">Good </v>
      </c>
      <c r="Q262" s="2" t="str" cm="1">
        <f t="array" ref="Q26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62" s="2" t="str">
        <f>IF(Computed_insight___Success_of_active_sellers__2[[#This Row],[totalurgencycount]]&gt;0, "Has Banner", "No Banner")</f>
        <v>Has Banner</v>
      </c>
    </row>
    <row r="263" spans="1:18" x14ac:dyDescent="0.3">
      <c r="A263">
        <v>261</v>
      </c>
      <c r="B263" t="s">
        <v>55</v>
      </c>
      <c r="C263">
        <v>5</v>
      </c>
      <c r="D263">
        <v>5400</v>
      </c>
      <c r="E263">
        <v>1080</v>
      </c>
      <c r="F263">
        <v>3.8380000000000001</v>
      </c>
      <c r="G263">
        <v>91631</v>
      </c>
      <c r="H263">
        <v>2.31</v>
      </c>
      <c r="I263">
        <v>10</v>
      </c>
      <c r="J263">
        <v>75</v>
      </c>
      <c r="K263">
        <v>75.2</v>
      </c>
      <c r="L263">
        <v>187</v>
      </c>
      <c r="M263">
        <v>2</v>
      </c>
      <c r="N263">
        <v>40</v>
      </c>
      <c r="O263" s="2" t="str" cm="1">
        <f t="array" ref="O26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63" s="2" t="str" cm="1">
        <f t="array" ref="P263">_xlfn.IFS(Computed_insight___Success_of_active_sellers__2[[#This Row],[rating]]&gt;=4.5, "Excellent ", Computed_insight___Success_of_active_sellers__2[[#This Row],[rating]]&gt;=4, "Good ", Computed_insight___Success_of_active_sellers__2[[#This Row],[rating]]&gt;=3.5, "Average", TRUE, "Poor ")</f>
        <v>Average</v>
      </c>
      <c r="Q263" s="2" t="str" cm="1">
        <f t="array" ref="Q26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63" s="2" t="str">
        <f>IF(Computed_insight___Success_of_active_sellers__2[[#This Row],[totalurgencycount]]&gt;0, "Has Banner", "No Banner")</f>
        <v>Has Banner</v>
      </c>
    </row>
    <row r="264" spans="1:18" x14ac:dyDescent="0.3">
      <c r="A264">
        <v>262</v>
      </c>
      <c r="B264" t="s">
        <v>405</v>
      </c>
      <c r="C264">
        <v>4</v>
      </c>
      <c r="D264">
        <v>5250</v>
      </c>
      <c r="E264">
        <v>1313</v>
      </c>
      <c r="F264">
        <v>4.0739999999999998</v>
      </c>
      <c r="G264">
        <v>14676</v>
      </c>
      <c r="H264">
        <v>7.75</v>
      </c>
      <c r="I264">
        <v>13.5</v>
      </c>
      <c r="J264">
        <v>12</v>
      </c>
      <c r="K264">
        <v>11.5</v>
      </c>
      <c r="L264">
        <v>308</v>
      </c>
      <c r="M264">
        <v>1</v>
      </c>
      <c r="N264">
        <v>25</v>
      </c>
      <c r="O264" s="2" t="str" cm="1">
        <f t="array" ref="O26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64" s="2" t="str" cm="1">
        <f t="array" ref="P264">_xlfn.IFS(Computed_insight___Success_of_active_sellers__2[[#This Row],[rating]]&gt;=4.5, "Excellent ", Computed_insight___Success_of_active_sellers__2[[#This Row],[rating]]&gt;=4, "Good ", Computed_insight___Success_of_active_sellers__2[[#This Row],[rating]]&gt;=3.5, "Average", TRUE, "Poor ")</f>
        <v xml:space="preserve">Good </v>
      </c>
      <c r="Q264" s="2" t="str" cm="1">
        <f t="array" ref="Q264">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264" s="2" t="str">
        <f>IF(Computed_insight___Success_of_active_sellers__2[[#This Row],[totalurgencycount]]&gt;0, "Has Banner", "No Banner")</f>
        <v>Has Banner</v>
      </c>
    </row>
    <row r="265" spans="1:18" x14ac:dyDescent="0.3">
      <c r="A265">
        <v>263</v>
      </c>
      <c r="B265" t="s">
        <v>115</v>
      </c>
      <c r="C265">
        <v>5</v>
      </c>
      <c r="D265">
        <v>5250</v>
      </c>
      <c r="E265">
        <v>1050</v>
      </c>
      <c r="F265">
        <v>4.0019999999999998</v>
      </c>
      <c r="G265">
        <v>25222</v>
      </c>
      <c r="H265">
        <v>6.8</v>
      </c>
      <c r="I265">
        <v>32.4</v>
      </c>
      <c r="J265">
        <v>68</v>
      </c>
      <c r="K265">
        <v>68</v>
      </c>
      <c r="L265">
        <v>279</v>
      </c>
      <c r="M265">
        <v>2</v>
      </c>
      <c r="N265">
        <v>40</v>
      </c>
      <c r="O265" s="2" t="str" cm="1">
        <f t="array" ref="O26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65" s="2" t="str" cm="1">
        <f t="array" ref="P265">_xlfn.IFS(Computed_insight___Success_of_active_sellers__2[[#This Row],[rating]]&gt;=4.5, "Excellent ", Computed_insight___Success_of_active_sellers__2[[#This Row],[rating]]&gt;=4, "Good ", Computed_insight___Success_of_active_sellers__2[[#This Row],[rating]]&gt;=3.5, "Average", TRUE, "Poor ")</f>
        <v xml:space="preserve">Good </v>
      </c>
      <c r="Q265" s="2" t="str" cm="1">
        <f t="array" ref="Q26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65" s="2" t="str">
        <f>IF(Computed_insight___Success_of_active_sellers__2[[#This Row],[totalurgencycount]]&gt;0, "Has Banner", "No Banner")</f>
        <v>Has Banner</v>
      </c>
    </row>
    <row r="266" spans="1:18" x14ac:dyDescent="0.3">
      <c r="A266">
        <v>264</v>
      </c>
      <c r="B266" t="s">
        <v>136</v>
      </c>
      <c r="C266">
        <v>3</v>
      </c>
      <c r="D266">
        <v>5200</v>
      </c>
      <c r="E266">
        <v>1733</v>
      </c>
      <c r="F266">
        <v>3.6960000000000002</v>
      </c>
      <c r="G266">
        <v>4435</v>
      </c>
      <c r="H266">
        <v>3</v>
      </c>
      <c r="I266">
        <v>46.67</v>
      </c>
      <c r="J266">
        <v>92</v>
      </c>
      <c r="K266">
        <v>92.33</v>
      </c>
      <c r="L266">
        <v>529</v>
      </c>
      <c r="M266">
        <v>1</v>
      </c>
      <c r="N266">
        <v>33</v>
      </c>
      <c r="O266" s="2" t="str" cm="1">
        <f t="array" ref="O26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66" s="2" t="str" cm="1">
        <f t="array" ref="P266">_xlfn.IFS(Computed_insight___Success_of_active_sellers__2[[#This Row],[rating]]&gt;=4.5, "Excellent ", Computed_insight___Success_of_active_sellers__2[[#This Row],[rating]]&gt;=4, "Good ", Computed_insight___Success_of_active_sellers__2[[#This Row],[rating]]&gt;=3.5, "Average", TRUE, "Poor ")</f>
        <v>Average</v>
      </c>
      <c r="Q266" s="2" t="str" cm="1">
        <f t="array" ref="Q26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66" s="2" t="str">
        <f>IF(Computed_insight___Success_of_active_sellers__2[[#This Row],[totalurgencycount]]&gt;0, "Has Banner", "No Banner")</f>
        <v>Has Banner</v>
      </c>
    </row>
    <row r="267" spans="1:18" x14ac:dyDescent="0.3">
      <c r="A267">
        <v>265</v>
      </c>
      <c r="B267" t="s">
        <v>71</v>
      </c>
      <c r="C267">
        <v>3</v>
      </c>
      <c r="D267">
        <v>5200</v>
      </c>
      <c r="E267">
        <v>1733</v>
      </c>
      <c r="F267">
        <v>4.3010000000000002</v>
      </c>
      <c r="G267">
        <v>225438</v>
      </c>
      <c r="H267">
        <v>8.67</v>
      </c>
      <c r="I267">
        <v>8</v>
      </c>
      <c r="J267">
        <v>-7</v>
      </c>
      <c r="K267">
        <v>-6.67</v>
      </c>
      <c r="L267">
        <v>366</v>
      </c>
      <c r="M267">
        <v>1</v>
      </c>
      <c r="N267">
        <v>33</v>
      </c>
      <c r="O267" s="2" t="str" cm="1">
        <f t="array" ref="O26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67" s="2" t="str" cm="1">
        <f t="array" ref="P267">_xlfn.IFS(Computed_insight___Success_of_active_sellers__2[[#This Row],[rating]]&gt;=4.5, "Excellent ", Computed_insight___Success_of_active_sellers__2[[#This Row],[rating]]&gt;=4, "Good ", Computed_insight___Success_of_active_sellers__2[[#This Row],[rating]]&gt;=3.5, "Average", TRUE, "Poor ")</f>
        <v xml:space="preserve">Good </v>
      </c>
      <c r="Q267" s="2" t="str" cm="1">
        <f t="array" ref="Q26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67" s="2" t="str">
        <f>IF(Computed_insight___Success_of_active_sellers__2[[#This Row],[totalurgencycount]]&gt;0, "Has Banner", "No Banner")</f>
        <v>Has Banner</v>
      </c>
    </row>
    <row r="268" spans="1:18" x14ac:dyDescent="0.3">
      <c r="A268">
        <v>266</v>
      </c>
      <c r="B268" t="s">
        <v>30</v>
      </c>
      <c r="C268">
        <v>2</v>
      </c>
      <c r="D268">
        <v>5100</v>
      </c>
      <c r="E268">
        <v>2550</v>
      </c>
      <c r="F268">
        <v>3.8319999999999999</v>
      </c>
      <c r="G268">
        <v>18138</v>
      </c>
      <c r="H268">
        <v>3.37</v>
      </c>
      <c r="I268">
        <v>43.5</v>
      </c>
      <c r="J268">
        <v>54</v>
      </c>
      <c r="K268">
        <v>54</v>
      </c>
      <c r="L268">
        <v>154</v>
      </c>
      <c r="O268" s="2" t="str" cm="1">
        <f t="array" ref="O26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68" s="2" t="str" cm="1">
        <f t="array" ref="P268">_xlfn.IFS(Computed_insight___Success_of_active_sellers__2[[#This Row],[rating]]&gt;=4.5, "Excellent ", Computed_insight___Success_of_active_sellers__2[[#This Row],[rating]]&gt;=4, "Good ", Computed_insight___Success_of_active_sellers__2[[#This Row],[rating]]&gt;=3.5, "Average", TRUE, "Poor ")</f>
        <v>Average</v>
      </c>
      <c r="Q268" s="2" t="str" cm="1">
        <f t="array" ref="Q26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68" s="2" t="str">
        <f>IF(Computed_insight___Success_of_active_sellers__2[[#This Row],[totalurgencycount]]&gt;0, "Has Banner", "No Banner")</f>
        <v>No Banner</v>
      </c>
    </row>
    <row r="269" spans="1:18" x14ac:dyDescent="0.3">
      <c r="A269">
        <v>267</v>
      </c>
      <c r="B269" t="s">
        <v>487</v>
      </c>
      <c r="C269">
        <v>2</v>
      </c>
      <c r="D269">
        <v>5100</v>
      </c>
      <c r="E269">
        <v>2550</v>
      </c>
      <c r="F269">
        <v>3.8540000000000001</v>
      </c>
      <c r="G269">
        <v>2363</v>
      </c>
      <c r="H269">
        <v>10.98</v>
      </c>
      <c r="I269">
        <v>10</v>
      </c>
      <c r="J269">
        <v>-6</v>
      </c>
      <c r="K269">
        <v>-6.5</v>
      </c>
      <c r="L269">
        <v>368</v>
      </c>
      <c r="M269">
        <v>1</v>
      </c>
      <c r="N269">
        <v>50</v>
      </c>
      <c r="O269" s="2" t="str" cm="1">
        <f t="array" ref="O26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69" s="2" t="str" cm="1">
        <f t="array" ref="P269">_xlfn.IFS(Computed_insight___Success_of_active_sellers__2[[#This Row],[rating]]&gt;=4.5, "Excellent ", Computed_insight___Success_of_active_sellers__2[[#This Row],[rating]]&gt;=4, "Good ", Computed_insight___Success_of_active_sellers__2[[#This Row],[rating]]&gt;=3.5, "Average", TRUE, "Poor ")</f>
        <v>Average</v>
      </c>
      <c r="Q269" s="2" t="str" cm="1">
        <f t="array" ref="Q26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69" s="2" t="str">
        <f>IF(Computed_insight___Success_of_active_sellers__2[[#This Row],[totalurgencycount]]&gt;0, "Has Banner", "No Banner")</f>
        <v>Has Banner</v>
      </c>
    </row>
    <row r="270" spans="1:18" x14ac:dyDescent="0.3">
      <c r="A270">
        <v>268</v>
      </c>
      <c r="B270" t="s">
        <v>452</v>
      </c>
      <c r="C270">
        <v>2</v>
      </c>
      <c r="D270">
        <v>5100</v>
      </c>
      <c r="E270">
        <v>2550</v>
      </c>
      <c r="F270">
        <v>3.9550000000000001</v>
      </c>
      <c r="G270">
        <v>38258</v>
      </c>
      <c r="H270">
        <v>12.5</v>
      </c>
      <c r="I270">
        <v>35.5</v>
      </c>
      <c r="J270">
        <v>33</v>
      </c>
      <c r="K270">
        <v>33</v>
      </c>
      <c r="L270">
        <v>458</v>
      </c>
      <c r="O270" s="2" t="str" cm="1">
        <f t="array" ref="O27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70" s="2" t="str" cm="1">
        <f t="array" ref="P270">_xlfn.IFS(Computed_insight___Success_of_active_sellers__2[[#This Row],[rating]]&gt;=4.5, "Excellent ", Computed_insight___Success_of_active_sellers__2[[#This Row],[rating]]&gt;=4, "Good ", Computed_insight___Success_of_active_sellers__2[[#This Row],[rating]]&gt;=3.5, "Average", TRUE, "Poor ")</f>
        <v>Average</v>
      </c>
      <c r="Q270" s="2" t="str" cm="1">
        <f t="array" ref="Q270">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70" s="2" t="str">
        <f>IF(Computed_insight___Success_of_active_sellers__2[[#This Row],[totalurgencycount]]&gt;0, "Has Banner", "No Banner")</f>
        <v>No Banner</v>
      </c>
    </row>
    <row r="271" spans="1:18" x14ac:dyDescent="0.3">
      <c r="A271">
        <v>269</v>
      </c>
      <c r="B271" t="s">
        <v>374</v>
      </c>
      <c r="C271">
        <v>2</v>
      </c>
      <c r="D271">
        <v>5100</v>
      </c>
      <c r="E271">
        <v>2550</v>
      </c>
      <c r="F271">
        <v>4.0650000000000004</v>
      </c>
      <c r="G271">
        <v>8117</v>
      </c>
      <c r="H271">
        <v>17</v>
      </c>
      <c r="I271">
        <v>64</v>
      </c>
      <c r="J271">
        <v>36</v>
      </c>
      <c r="K271">
        <v>35.5</v>
      </c>
      <c r="L271">
        <v>386</v>
      </c>
      <c r="O271" s="2" t="str" cm="1">
        <f t="array" ref="O27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71" s="2" t="str" cm="1">
        <f t="array" ref="P271">_xlfn.IFS(Computed_insight___Success_of_active_sellers__2[[#This Row],[rating]]&gt;=4.5, "Excellent ", Computed_insight___Success_of_active_sellers__2[[#This Row],[rating]]&gt;=4, "Good ", Computed_insight___Success_of_active_sellers__2[[#This Row],[rating]]&gt;=3.5, "Average", TRUE, "Poor ")</f>
        <v xml:space="preserve">Good </v>
      </c>
      <c r="Q271" s="2" t="str" cm="1">
        <f t="array" ref="Q271">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71" s="2" t="str">
        <f>IF(Computed_insight___Success_of_active_sellers__2[[#This Row],[totalurgencycount]]&gt;0, "Has Banner", "No Banner")</f>
        <v>No Banner</v>
      </c>
    </row>
    <row r="272" spans="1:18" x14ac:dyDescent="0.3">
      <c r="A272">
        <v>270</v>
      </c>
      <c r="B272" t="s">
        <v>158</v>
      </c>
      <c r="C272">
        <v>2</v>
      </c>
      <c r="D272">
        <v>5100</v>
      </c>
      <c r="E272">
        <v>2550</v>
      </c>
      <c r="F272">
        <v>4.2160000000000002</v>
      </c>
      <c r="G272">
        <v>7851</v>
      </c>
      <c r="H272">
        <v>6</v>
      </c>
      <c r="I272">
        <v>17</v>
      </c>
      <c r="J272">
        <v>65</v>
      </c>
      <c r="K272">
        <v>65</v>
      </c>
      <c r="L272">
        <v>252</v>
      </c>
      <c r="O272" s="2" t="str" cm="1">
        <f t="array" ref="O27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72" s="2" t="str" cm="1">
        <f t="array" ref="P272">_xlfn.IFS(Computed_insight___Success_of_active_sellers__2[[#This Row],[rating]]&gt;=4.5, "Excellent ", Computed_insight___Success_of_active_sellers__2[[#This Row],[rating]]&gt;=4, "Good ", Computed_insight___Success_of_active_sellers__2[[#This Row],[rating]]&gt;=3.5, "Average", TRUE, "Poor ")</f>
        <v xml:space="preserve">Good </v>
      </c>
      <c r="Q272" s="2" t="str" cm="1">
        <f t="array" ref="Q27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72" s="2" t="str">
        <f>IF(Computed_insight___Success_of_active_sellers__2[[#This Row],[totalurgencycount]]&gt;0, "Has Banner", "No Banner")</f>
        <v>No Banner</v>
      </c>
    </row>
    <row r="273" spans="1:18" x14ac:dyDescent="0.3">
      <c r="A273">
        <v>271</v>
      </c>
      <c r="B273" t="s">
        <v>418</v>
      </c>
      <c r="C273">
        <v>2</v>
      </c>
      <c r="D273">
        <v>5100</v>
      </c>
      <c r="E273">
        <v>2550</v>
      </c>
      <c r="F273">
        <v>4.218</v>
      </c>
      <c r="G273">
        <v>5841</v>
      </c>
      <c r="H273">
        <v>10</v>
      </c>
      <c r="I273">
        <v>9.5</v>
      </c>
      <c r="J273">
        <v>-3</v>
      </c>
      <c r="K273">
        <v>-3.5</v>
      </c>
      <c r="L273">
        <v>1092</v>
      </c>
      <c r="O273" s="2" t="str" cm="1">
        <f t="array" ref="O27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73" s="2" t="str" cm="1">
        <f t="array" ref="P273">_xlfn.IFS(Computed_insight___Success_of_active_sellers__2[[#This Row],[rating]]&gt;=4.5, "Excellent ", Computed_insight___Success_of_active_sellers__2[[#This Row],[rating]]&gt;=4, "Good ", Computed_insight___Success_of_active_sellers__2[[#This Row],[rating]]&gt;=3.5, "Average", TRUE, "Poor ")</f>
        <v xml:space="preserve">Good </v>
      </c>
      <c r="Q273" s="2" t="str" cm="1">
        <f t="array" ref="Q27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73" s="2" t="str">
        <f>IF(Computed_insight___Success_of_active_sellers__2[[#This Row],[totalurgencycount]]&gt;0, "Has Banner", "No Banner")</f>
        <v>No Banner</v>
      </c>
    </row>
    <row r="274" spans="1:18" x14ac:dyDescent="0.3">
      <c r="A274">
        <v>272</v>
      </c>
      <c r="B274" t="s">
        <v>203</v>
      </c>
      <c r="C274">
        <v>2</v>
      </c>
      <c r="D274">
        <v>5100</v>
      </c>
      <c r="E274">
        <v>2550</v>
      </c>
      <c r="F274">
        <v>4.2359999999999998</v>
      </c>
      <c r="G274">
        <v>2199</v>
      </c>
      <c r="H274">
        <v>6.34</v>
      </c>
      <c r="I274">
        <v>13.5</v>
      </c>
      <c r="J274">
        <v>28</v>
      </c>
      <c r="K274">
        <v>28</v>
      </c>
      <c r="L274">
        <v>425</v>
      </c>
      <c r="M274">
        <v>1</v>
      </c>
      <c r="N274">
        <v>50</v>
      </c>
      <c r="O274" s="2" t="str" cm="1">
        <f t="array" ref="O27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74" s="2" t="str" cm="1">
        <f t="array" ref="P274">_xlfn.IFS(Computed_insight___Success_of_active_sellers__2[[#This Row],[rating]]&gt;=4.5, "Excellent ", Computed_insight___Success_of_active_sellers__2[[#This Row],[rating]]&gt;=4, "Good ", Computed_insight___Success_of_active_sellers__2[[#This Row],[rating]]&gt;=3.5, "Average", TRUE, "Poor ")</f>
        <v xml:space="preserve">Good </v>
      </c>
      <c r="Q274" s="2" t="str" cm="1">
        <f t="array" ref="Q274">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74" s="2" t="str">
        <f>IF(Computed_insight___Success_of_active_sellers__2[[#This Row],[totalurgencycount]]&gt;0, "Has Banner", "No Banner")</f>
        <v>Has Banner</v>
      </c>
    </row>
    <row r="275" spans="1:18" x14ac:dyDescent="0.3">
      <c r="A275">
        <v>273</v>
      </c>
      <c r="B275" t="s">
        <v>155</v>
      </c>
      <c r="C275">
        <v>2</v>
      </c>
      <c r="D275">
        <v>5100</v>
      </c>
      <c r="E275">
        <v>2550</v>
      </c>
      <c r="F275">
        <v>4.3860000000000001</v>
      </c>
      <c r="G275">
        <v>73595</v>
      </c>
      <c r="H275">
        <v>11.5</v>
      </c>
      <c r="I275">
        <v>128.5</v>
      </c>
      <c r="J275">
        <v>91</v>
      </c>
      <c r="K275">
        <v>90.5</v>
      </c>
      <c r="L275">
        <v>277</v>
      </c>
      <c r="M275">
        <v>2</v>
      </c>
      <c r="N275">
        <v>100</v>
      </c>
      <c r="O275" s="2" t="str" cm="1">
        <f t="array" ref="O27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75" s="2" t="str" cm="1">
        <f t="array" ref="P275">_xlfn.IFS(Computed_insight___Success_of_active_sellers__2[[#This Row],[rating]]&gt;=4.5, "Excellent ", Computed_insight___Success_of_active_sellers__2[[#This Row],[rating]]&gt;=4, "Good ", Computed_insight___Success_of_active_sellers__2[[#This Row],[rating]]&gt;=3.5, "Average", TRUE, "Poor ")</f>
        <v xml:space="preserve">Good </v>
      </c>
      <c r="Q275" s="2" t="str" cm="1">
        <f t="array" ref="Q27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75" s="2" t="str">
        <f>IF(Computed_insight___Success_of_active_sellers__2[[#This Row],[totalurgencycount]]&gt;0, "Has Banner", "No Banner")</f>
        <v>Has Banner</v>
      </c>
    </row>
    <row r="276" spans="1:18" x14ac:dyDescent="0.3">
      <c r="A276">
        <v>274</v>
      </c>
      <c r="B276" t="s">
        <v>276</v>
      </c>
      <c r="C276">
        <v>1</v>
      </c>
      <c r="D276">
        <v>5000</v>
      </c>
      <c r="E276">
        <v>5000</v>
      </c>
      <c r="F276">
        <v>3.6819999999999999</v>
      </c>
      <c r="G276">
        <v>1021</v>
      </c>
      <c r="H276">
        <v>12</v>
      </c>
      <c r="I276">
        <v>11</v>
      </c>
      <c r="J276">
        <v>-9</v>
      </c>
      <c r="K276">
        <v>-9</v>
      </c>
      <c r="L276">
        <v>887</v>
      </c>
      <c r="O276" s="2" t="str" cm="1">
        <f t="array" ref="O27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76" s="2" t="str" cm="1">
        <f t="array" ref="P276">_xlfn.IFS(Computed_insight___Success_of_active_sellers__2[[#This Row],[rating]]&gt;=4.5, "Excellent ", Computed_insight___Success_of_active_sellers__2[[#This Row],[rating]]&gt;=4, "Good ", Computed_insight___Success_of_active_sellers__2[[#This Row],[rating]]&gt;=3.5, "Average", TRUE, "Poor ")</f>
        <v>Average</v>
      </c>
      <c r="Q276" s="2" t="str" cm="1">
        <f t="array" ref="Q27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76" s="2" t="str">
        <f>IF(Computed_insight___Success_of_active_sellers__2[[#This Row],[totalurgencycount]]&gt;0, "Has Banner", "No Banner")</f>
        <v>No Banner</v>
      </c>
    </row>
    <row r="277" spans="1:18" x14ac:dyDescent="0.3">
      <c r="A277">
        <v>275</v>
      </c>
      <c r="B277" t="s">
        <v>639</v>
      </c>
      <c r="C277">
        <v>1</v>
      </c>
      <c r="D277">
        <v>5000</v>
      </c>
      <c r="E277">
        <v>5000</v>
      </c>
      <c r="F277">
        <v>3.6869999999999998</v>
      </c>
      <c r="G277">
        <v>1686</v>
      </c>
      <c r="H277">
        <v>7</v>
      </c>
      <c r="I277">
        <v>6</v>
      </c>
      <c r="J277">
        <v>-16</v>
      </c>
      <c r="K277">
        <v>-16</v>
      </c>
      <c r="L277">
        <v>1212</v>
      </c>
      <c r="O277" s="2" t="str" cm="1">
        <f t="array" ref="O27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77" s="2" t="str" cm="1">
        <f t="array" ref="P277">_xlfn.IFS(Computed_insight___Success_of_active_sellers__2[[#This Row],[rating]]&gt;=4.5, "Excellent ", Computed_insight___Success_of_active_sellers__2[[#This Row],[rating]]&gt;=4, "Good ", Computed_insight___Success_of_active_sellers__2[[#This Row],[rating]]&gt;=3.5, "Average", TRUE, "Poor ")</f>
        <v>Average</v>
      </c>
      <c r="Q277" s="2" t="str" cm="1">
        <f t="array" ref="Q27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77" s="2" t="str">
        <f>IF(Computed_insight___Success_of_active_sellers__2[[#This Row],[totalurgencycount]]&gt;0, "Has Banner", "No Banner")</f>
        <v>No Banner</v>
      </c>
    </row>
    <row r="278" spans="1:18" x14ac:dyDescent="0.3">
      <c r="A278">
        <v>276</v>
      </c>
      <c r="B278" t="s">
        <v>705</v>
      </c>
      <c r="C278">
        <v>1</v>
      </c>
      <c r="D278">
        <v>5000</v>
      </c>
      <c r="E278">
        <v>5000</v>
      </c>
      <c r="F278">
        <v>3.7949999999999999</v>
      </c>
      <c r="G278">
        <v>12348</v>
      </c>
      <c r="H278">
        <v>18</v>
      </c>
      <c r="I278">
        <v>27</v>
      </c>
      <c r="J278">
        <v>34</v>
      </c>
      <c r="K278">
        <v>34</v>
      </c>
      <c r="L278">
        <v>1058</v>
      </c>
      <c r="O278" s="2" t="str" cm="1">
        <f t="array" ref="O27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78" s="2" t="str" cm="1">
        <f t="array" ref="P278">_xlfn.IFS(Computed_insight___Success_of_active_sellers__2[[#This Row],[rating]]&gt;=4.5, "Excellent ", Computed_insight___Success_of_active_sellers__2[[#This Row],[rating]]&gt;=4, "Good ", Computed_insight___Success_of_active_sellers__2[[#This Row],[rating]]&gt;=3.5, "Average", TRUE, "Poor ")</f>
        <v>Average</v>
      </c>
      <c r="Q278" s="2" t="str" cm="1">
        <f t="array" ref="Q278">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78" s="2" t="str">
        <f>IF(Computed_insight___Success_of_active_sellers__2[[#This Row],[totalurgencycount]]&gt;0, "Has Banner", "No Banner")</f>
        <v>No Banner</v>
      </c>
    </row>
    <row r="279" spans="1:18" x14ac:dyDescent="0.3">
      <c r="A279">
        <v>277</v>
      </c>
      <c r="B279" t="s">
        <v>566</v>
      </c>
      <c r="C279">
        <v>1</v>
      </c>
      <c r="D279">
        <v>5000</v>
      </c>
      <c r="E279">
        <v>5000</v>
      </c>
      <c r="F279">
        <v>3.8</v>
      </c>
      <c r="G279">
        <v>9678</v>
      </c>
      <c r="H279">
        <v>8</v>
      </c>
      <c r="I279">
        <v>8</v>
      </c>
      <c r="J279">
        <v>0</v>
      </c>
      <c r="K279">
        <v>0</v>
      </c>
      <c r="L279">
        <v>555</v>
      </c>
      <c r="O279" s="2" t="str" cm="1">
        <f t="array" ref="O27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79" s="2" t="str" cm="1">
        <f t="array" ref="P279">_xlfn.IFS(Computed_insight___Success_of_active_sellers__2[[#This Row],[rating]]&gt;=4.5, "Excellent ", Computed_insight___Success_of_active_sellers__2[[#This Row],[rating]]&gt;=4, "Good ", Computed_insight___Success_of_active_sellers__2[[#This Row],[rating]]&gt;=3.5, "Average", TRUE, "Poor ")</f>
        <v>Average</v>
      </c>
      <c r="Q279" s="2" t="str" cm="1">
        <f t="array" ref="Q27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79" s="2" t="str">
        <f>IF(Computed_insight___Success_of_active_sellers__2[[#This Row],[totalurgencycount]]&gt;0, "Has Banner", "No Banner")</f>
        <v>No Banner</v>
      </c>
    </row>
    <row r="280" spans="1:18" x14ac:dyDescent="0.3">
      <c r="A280">
        <v>278</v>
      </c>
      <c r="B280" t="s">
        <v>925</v>
      </c>
      <c r="C280">
        <v>1</v>
      </c>
      <c r="D280">
        <v>5000</v>
      </c>
      <c r="E280">
        <v>5000</v>
      </c>
      <c r="F280">
        <v>3.819</v>
      </c>
      <c r="G280">
        <v>24095</v>
      </c>
      <c r="H280">
        <v>15</v>
      </c>
      <c r="I280">
        <v>13</v>
      </c>
      <c r="J280">
        <v>-15</v>
      </c>
      <c r="K280">
        <v>-15</v>
      </c>
      <c r="L280">
        <v>1072</v>
      </c>
      <c r="O280" s="2" t="str" cm="1">
        <f t="array" ref="O28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80" s="2" t="str" cm="1">
        <f t="array" ref="P280">_xlfn.IFS(Computed_insight___Success_of_active_sellers__2[[#This Row],[rating]]&gt;=4.5, "Excellent ", Computed_insight___Success_of_active_sellers__2[[#This Row],[rating]]&gt;=4, "Good ", Computed_insight___Success_of_active_sellers__2[[#This Row],[rating]]&gt;=3.5, "Average", TRUE, "Poor ")</f>
        <v>Average</v>
      </c>
      <c r="Q280" s="2" t="str" cm="1">
        <f t="array" ref="Q28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80" s="2" t="str">
        <f>IF(Computed_insight___Success_of_active_sellers__2[[#This Row],[totalurgencycount]]&gt;0, "Has Banner", "No Banner")</f>
        <v>No Banner</v>
      </c>
    </row>
    <row r="281" spans="1:18" x14ac:dyDescent="0.3">
      <c r="A281">
        <v>279</v>
      </c>
      <c r="B281" t="s">
        <v>381</v>
      </c>
      <c r="C281">
        <v>1</v>
      </c>
      <c r="D281">
        <v>5000</v>
      </c>
      <c r="E281">
        <v>5000</v>
      </c>
      <c r="F281">
        <v>3.8210000000000002</v>
      </c>
      <c r="G281">
        <v>1029</v>
      </c>
      <c r="H281">
        <v>9</v>
      </c>
      <c r="I281">
        <v>8</v>
      </c>
      <c r="J281">
        <v>-12</v>
      </c>
      <c r="K281">
        <v>-12</v>
      </c>
      <c r="L281">
        <v>429</v>
      </c>
      <c r="O281" s="2" t="str" cm="1">
        <f t="array" ref="O28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81" s="2" t="str" cm="1">
        <f t="array" ref="P281">_xlfn.IFS(Computed_insight___Success_of_active_sellers__2[[#This Row],[rating]]&gt;=4.5, "Excellent ", Computed_insight___Success_of_active_sellers__2[[#This Row],[rating]]&gt;=4, "Good ", Computed_insight___Success_of_active_sellers__2[[#This Row],[rating]]&gt;=3.5, "Average", TRUE, "Poor ")</f>
        <v>Average</v>
      </c>
      <c r="Q281" s="2" t="str" cm="1">
        <f t="array" ref="Q28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81" s="2" t="str">
        <f>IF(Computed_insight___Success_of_active_sellers__2[[#This Row],[totalurgencycount]]&gt;0, "Has Banner", "No Banner")</f>
        <v>No Banner</v>
      </c>
    </row>
    <row r="282" spans="1:18" x14ac:dyDescent="0.3">
      <c r="A282">
        <v>280</v>
      </c>
      <c r="B282" t="s">
        <v>855</v>
      </c>
      <c r="C282">
        <v>1</v>
      </c>
      <c r="D282">
        <v>5000</v>
      </c>
      <c r="E282">
        <v>5000</v>
      </c>
      <c r="F282">
        <v>3.843</v>
      </c>
      <c r="G282">
        <v>4830</v>
      </c>
      <c r="H282">
        <v>11</v>
      </c>
      <c r="I282">
        <v>17</v>
      </c>
      <c r="J282">
        <v>36</v>
      </c>
      <c r="K282">
        <v>36</v>
      </c>
      <c r="L282">
        <v>692</v>
      </c>
      <c r="M282">
        <v>1</v>
      </c>
      <c r="N282">
        <v>100</v>
      </c>
      <c r="O282" s="2" t="str" cm="1">
        <f t="array" ref="O28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82" s="2" t="str" cm="1">
        <f t="array" ref="P282">_xlfn.IFS(Computed_insight___Success_of_active_sellers__2[[#This Row],[rating]]&gt;=4.5, "Excellent ", Computed_insight___Success_of_active_sellers__2[[#This Row],[rating]]&gt;=4, "Good ", Computed_insight___Success_of_active_sellers__2[[#This Row],[rating]]&gt;=3.5, "Average", TRUE, "Poor ")</f>
        <v>Average</v>
      </c>
      <c r="Q282" s="2" t="str" cm="1">
        <f t="array" ref="Q282">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82" s="2" t="str">
        <f>IF(Computed_insight___Success_of_active_sellers__2[[#This Row],[totalurgencycount]]&gt;0, "Has Banner", "No Banner")</f>
        <v>Has Banner</v>
      </c>
    </row>
    <row r="283" spans="1:18" x14ac:dyDescent="0.3">
      <c r="A283">
        <v>281</v>
      </c>
      <c r="B283" t="s">
        <v>878</v>
      </c>
      <c r="C283">
        <v>1</v>
      </c>
      <c r="D283">
        <v>5000</v>
      </c>
      <c r="E283">
        <v>5000</v>
      </c>
      <c r="F283">
        <v>3.8639999999999999</v>
      </c>
      <c r="G283">
        <v>7631</v>
      </c>
      <c r="H283">
        <v>8</v>
      </c>
      <c r="I283">
        <v>50</v>
      </c>
      <c r="J283">
        <v>84</v>
      </c>
      <c r="K283">
        <v>84</v>
      </c>
      <c r="L283">
        <v>1057</v>
      </c>
      <c r="M283">
        <v>1</v>
      </c>
      <c r="N283">
        <v>100</v>
      </c>
      <c r="O283" s="2" t="str" cm="1">
        <f t="array" ref="O28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83" s="2" t="str" cm="1">
        <f t="array" ref="P283">_xlfn.IFS(Computed_insight___Success_of_active_sellers__2[[#This Row],[rating]]&gt;=4.5, "Excellent ", Computed_insight___Success_of_active_sellers__2[[#This Row],[rating]]&gt;=4, "Good ", Computed_insight___Success_of_active_sellers__2[[#This Row],[rating]]&gt;=3.5, "Average", TRUE, "Poor ")</f>
        <v>Average</v>
      </c>
      <c r="Q283" s="2" t="str" cm="1">
        <f t="array" ref="Q28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83" s="2" t="str">
        <f>IF(Computed_insight___Success_of_active_sellers__2[[#This Row],[totalurgencycount]]&gt;0, "Has Banner", "No Banner")</f>
        <v>Has Banner</v>
      </c>
    </row>
    <row r="284" spans="1:18" x14ac:dyDescent="0.3">
      <c r="A284">
        <v>282</v>
      </c>
      <c r="B284" t="s">
        <v>400</v>
      </c>
      <c r="C284">
        <v>1</v>
      </c>
      <c r="D284">
        <v>5000</v>
      </c>
      <c r="E284">
        <v>5000</v>
      </c>
      <c r="F284">
        <v>3.8730000000000002</v>
      </c>
      <c r="G284">
        <v>2608</v>
      </c>
      <c r="H284">
        <v>11</v>
      </c>
      <c r="I284">
        <v>108</v>
      </c>
      <c r="J284">
        <v>90</v>
      </c>
      <c r="K284">
        <v>90</v>
      </c>
      <c r="L284">
        <v>299</v>
      </c>
      <c r="O284" s="2" t="str" cm="1">
        <f t="array" ref="O28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84" s="2" t="str" cm="1">
        <f t="array" ref="P284">_xlfn.IFS(Computed_insight___Success_of_active_sellers__2[[#This Row],[rating]]&gt;=4.5, "Excellent ", Computed_insight___Success_of_active_sellers__2[[#This Row],[rating]]&gt;=4, "Good ", Computed_insight___Success_of_active_sellers__2[[#This Row],[rating]]&gt;=3.5, "Average", TRUE, "Poor ")</f>
        <v>Average</v>
      </c>
      <c r="Q284" s="2" t="str" cm="1">
        <f t="array" ref="Q28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84" s="2" t="str">
        <f>IF(Computed_insight___Success_of_active_sellers__2[[#This Row],[totalurgencycount]]&gt;0, "Has Banner", "No Banner")</f>
        <v>No Banner</v>
      </c>
    </row>
    <row r="285" spans="1:18" x14ac:dyDescent="0.3">
      <c r="A285">
        <v>283</v>
      </c>
      <c r="B285" t="s">
        <v>796</v>
      </c>
      <c r="C285">
        <v>1</v>
      </c>
      <c r="D285">
        <v>5000</v>
      </c>
      <c r="E285">
        <v>5000</v>
      </c>
      <c r="F285">
        <v>3.8969999999999998</v>
      </c>
      <c r="G285">
        <v>3990</v>
      </c>
      <c r="H285">
        <v>12</v>
      </c>
      <c r="I285">
        <v>16</v>
      </c>
      <c r="J285">
        <v>25</v>
      </c>
      <c r="K285">
        <v>25</v>
      </c>
      <c r="L285">
        <v>701</v>
      </c>
      <c r="O285" s="2" t="str" cm="1">
        <f t="array" ref="O28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85" s="2" t="str" cm="1">
        <f t="array" ref="P285">_xlfn.IFS(Computed_insight___Success_of_active_sellers__2[[#This Row],[rating]]&gt;=4.5, "Excellent ", Computed_insight___Success_of_active_sellers__2[[#This Row],[rating]]&gt;=4, "Good ", Computed_insight___Success_of_active_sellers__2[[#This Row],[rating]]&gt;=3.5, "Average", TRUE, "Poor ")</f>
        <v>Average</v>
      </c>
      <c r="Q285" s="2" t="str" cm="1">
        <f t="array" ref="Q285">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285" s="2" t="str">
        <f>IF(Computed_insight___Success_of_active_sellers__2[[#This Row],[totalurgencycount]]&gt;0, "Has Banner", "No Banner")</f>
        <v>No Banner</v>
      </c>
    </row>
    <row r="286" spans="1:18" x14ac:dyDescent="0.3">
      <c r="A286">
        <v>284</v>
      </c>
      <c r="B286" t="s">
        <v>245</v>
      </c>
      <c r="C286">
        <v>1</v>
      </c>
      <c r="D286">
        <v>5000</v>
      </c>
      <c r="E286">
        <v>5000</v>
      </c>
      <c r="F286">
        <v>3.9039999999999999</v>
      </c>
      <c r="G286">
        <v>2510</v>
      </c>
      <c r="H286">
        <v>8</v>
      </c>
      <c r="I286">
        <v>7</v>
      </c>
      <c r="J286">
        <v>-14</v>
      </c>
      <c r="K286">
        <v>-14</v>
      </c>
      <c r="L286">
        <v>876</v>
      </c>
      <c r="M286">
        <v>1</v>
      </c>
      <c r="N286">
        <v>100</v>
      </c>
      <c r="O286" s="2" t="str" cm="1">
        <f t="array" ref="O28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86" s="2" t="str" cm="1">
        <f t="array" ref="P286">_xlfn.IFS(Computed_insight___Success_of_active_sellers__2[[#This Row],[rating]]&gt;=4.5, "Excellent ", Computed_insight___Success_of_active_sellers__2[[#This Row],[rating]]&gt;=4, "Good ", Computed_insight___Success_of_active_sellers__2[[#This Row],[rating]]&gt;=3.5, "Average", TRUE, "Poor ")</f>
        <v>Average</v>
      </c>
      <c r="Q286" s="2" t="str" cm="1">
        <f t="array" ref="Q28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86" s="2" t="str">
        <f>IF(Computed_insight___Success_of_active_sellers__2[[#This Row],[totalurgencycount]]&gt;0, "Has Banner", "No Banner")</f>
        <v>Has Banner</v>
      </c>
    </row>
    <row r="287" spans="1:18" x14ac:dyDescent="0.3">
      <c r="A287">
        <v>285</v>
      </c>
      <c r="B287" t="s">
        <v>126</v>
      </c>
      <c r="C287">
        <v>1</v>
      </c>
      <c r="D287">
        <v>5000</v>
      </c>
      <c r="E287">
        <v>5000</v>
      </c>
      <c r="F287">
        <v>3.911</v>
      </c>
      <c r="G287">
        <v>4571</v>
      </c>
      <c r="H287">
        <v>13</v>
      </c>
      <c r="I287">
        <v>17</v>
      </c>
      <c r="J287">
        <v>24</v>
      </c>
      <c r="K287">
        <v>24</v>
      </c>
      <c r="L287">
        <v>792</v>
      </c>
      <c r="M287">
        <v>1</v>
      </c>
      <c r="N287">
        <v>100</v>
      </c>
      <c r="O287" s="2" t="str" cm="1">
        <f t="array" ref="O28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87" s="2" t="str" cm="1">
        <f t="array" ref="P287">_xlfn.IFS(Computed_insight___Success_of_active_sellers__2[[#This Row],[rating]]&gt;=4.5, "Excellent ", Computed_insight___Success_of_active_sellers__2[[#This Row],[rating]]&gt;=4, "Good ", Computed_insight___Success_of_active_sellers__2[[#This Row],[rating]]&gt;=3.5, "Average", TRUE, "Poor ")</f>
        <v>Average</v>
      </c>
      <c r="Q287" s="2" t="str" cm="1">
        <f t="array" ref="Q287">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287" s="2" t="str">
        <f>IF(Computed_insight___Success_of_active_sellers__2[[#This Row],[totalurgencycount]]&gt;0, "Has Banner", "No Banner")</f>
        <v>Has Banner</v>
      </c>
    </row>
    <row r="288" spans="1:18" x14ac:dyDescent="0.3">
      <c r="A288">
        <v>286</v>
      </c>
      <c r="B288" t="s">
        <v>248</v>
      </c>
      <c r="C288">
        <v>1</v>
      </c>
      <c r="D288">
        <v>5000</v>
      </c>
      <c r="E288">
        <v>5000</v>
      </c>
      <c r="F288">
        <v>3.923</v>
      </c>
      <c r="G288">
        <v>1411</v>
      </c>
      <c r="H288">
        <v>6</v>
      </c>
      <c r="I288">
        <v>6</v>
      </c>
      <c r="J288">
        <v>0</v>
      </c>
      <c r="K288">
        <v>0</v>
      </c>
      <c r="L288">
        <v>609</v>
      </c>
      <c r="O288" s="2" t="str" cm="1">
        <f t="array" ref="O28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88" s="2" t="str" cm="1">
        <f t="array" ref="P288">_xlfn.IFS(Computed_insight___Success_of_active_sellers__2[[#This Row],[rating]]&gt;=4.5, "Excellent ", Computed_insight___Success_of_active_sellers__2[[#This Row],[rating]]&gt;=4, "Good ", Computed_insight___Success_of_active_sellers__2[[#This Row],[rating]]&gt;=3.5, "Average", TRUE, "Poor ")</f>
        <v>Average</v>
      </c>
      <c r="Q288" s="2" t="str" cm="1">
        <f t="array" ref="Q28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88" s="2" t="str">
        <f>IF(Computed_insight___Success_of_active_sellers__2[[#This Row],[totalurgencycount]]&gt;0, "Has Banner", "No Banner")</f>
        <v>No Banner</v>
      </c>
    </row>
    <row r="289" spans="1:18" x14ac:dyDescent="0.3">
      <c r="A289">
        <v>287</v>
      </c>
      <c r="B289" t="s">
        <v>231</v>
      </c>
      <c r="C289">
        <v>1</v>
      </c>
      <c r="D289">
        <v>5000</v>
      </c>
      <c r="E289">
        <v>5000</v>
      </c>
      <c r="F289">
        <v>3.9460000000000002</v>
      </c>
      <c r="G289">
        <v>5365</v>
      </c>
      <c r="H289">
        <v>8</v>
      </c>
      <c r="I289">
        <v>7</v>
      </c>
      <c r="J289">
        <v>-14</v>
      </c>
      <c r="K289">
        <v>-14</v>
      </c>
      <c r="L289">
        <v>309</v>
      </c>
      <c r="M289">
        <v>1</v>
      </c>
      <c r="N289">
        <v>100</v>
      </c>
      <c r="O289" s="2" t="str" cm="1">
        <f t="array" ref="O28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89" s="2" t="str" cm="1">
        <f t="array" ref="P289">_xlfn.IFS(Computed_insight___Success_of_active_sellers__2[[#This Row],[rating]]&gt;=4.5, "Excellent ", Computed_insight___Success_of_active_sellers__2[[#This Row],[rating]]&gt;=4, "Good ", Computed_insight___Success_of_active_sellers__2[[#This Row],[rating]]&gt;=3.5, "Average", TRUE, "Poor ")</f>
        <v>Average</v>
      </c>
      <c r="Q289" s="2" t="str" cm="1">
        <f t="array" ref="Q28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89" s="2" t="str">
        <f>IF(Computed_insight___Success_of_active_sellers__2[[#This Row],[totalurgencycount]]&gt;0, "Has Banner", "No Banner")</f>
        <v>Has Banner</v>
      </c>
    </row>
    <row r="290" spans="1:18" x14ac:dyDescent="0.3">
      <c r="A290">
        <v>288</v>
      </c>
      <c r="B290" t="s">
        <v>186</v>
      </c>
      <c r="C290">
        <v>1</v>
      </c>
      <c r="D290">
        <v>5000</v>
      </c>
      <c r="E290">
        <v>5000</v>
      </c>
      <c r="F290">
        <v>3.9460000000000002</v>
      </c>
      <c r="G290">
        <v>1490</v>
      </c>
      <c r="H290">
        <v>11</v>
      </c>
      <c r="I290">
        <v>12</v>
      </c>
      <c r="J290">
        <v>9</v>
      </c>
      <c r="K290">
        <v>9</v>
      </c>
      <c r="L290">
        <v>1045</v>
      </c>
      <c r="O290" s="2" t="str" cm="1">
        <f t="array" ref="O29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90" s="2" t="str" cm="1">
        <f t="array" ref="P290">_xlfn.IFS(Computed_insight___Success_of_active_sellers__2[[#This Row],[rating]]&gt;=4.5, "Excellent ", Computed_insight___Success_of_active_sellers__2[[#This Row],[rating]]&gt;=4, "Good ", Computed_insight___Success_of_active_sellers__2[[#This Row],[rating]]&gt;=3.5, "Average", TRUE, "Poor ")</f>
        <v>Average</v>
      </c>
      <c r="Q290" s="2" t="str" cm="1">
        <f t="array" ref="Q290">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290" s="2" t="str">
        <f>IF(Computed_insight___Success_of_active_sellers__2[[#This Row],[totalurgencycount]]&gt;0, "Has Banner", "No Banner")</f>
        <v>No Banner</v>
      </c>
    </row>
    <row r="291" spans="1:18" x14ac:dyDescent="0.3">
      <c r="A291">
        <v>289</v>
      </c>
      <c r="B291" t="s">
        <v>118</v>
      </c>
      <c r="C291">
        <v>1</v>
      </c>
      <c r="D291">
        <v>5000</v>
      </c>
      <c r="E291">
        <v>5000</v>
      </c>
      <c r="F291">
        <v>3.9460000000000002</v>
      </c>
      <c r="G291">
        <v>17244</v>
      </c>
      <c r="H291">
        <v>13</v>
      </c>
      <c r="I291">
        <v>51</v>
      </c>
      <c r="J291">
        <v>75</v>
      </c>
      <c r="K291">
        <v>75</v>
      </c>
      <c r="L291">
        <v>127</v>
      </c>
      <c r="M291">
        <v>1</v>
      </c>
      <c r="N291">
        <v>100</v>
      </c>
      <c r="O291" s="2" t="str" cm="1">
        <f t="array" ref="O29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91" s="2" t="str" cm="1">
        <f t="array" ref="P291">_xlfn.IFS(Computed_insight___Success_of_active_sellers__2[[#This Row],[rating]]&gt;=4.5, "Excellent ", Computed_insight___Success_of_active_sellers__2[[#This Row],[rating]]&gt;=4, "Good ", Computed_insight___Success_of_active_sellers__2[[#This Row],[rating]]&gt;=3.5, "Average", TRUE, "Poor ")</f>
        <v>Average</v>
      </c>
      <c r="Q291" s="2" t="str" cm="1">
        <f t="array" ref="Q29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91" s="2" t="str">
        <f>IF(Computed_insight___Success_of_active_sellers__2[[#This Row],[totalurgencycount]]&gt;0, "Has Banner", "No Banner")</f>
        <v>Has Banner</v>
      </c>
    </row>
    <row r="292" spans="1:18" x14ac:dyDescent="0.3">
      <c r="A292">
        <v>290</v>
      </c>
      <c r="B292" t="s">
        <v>204</v>
      </c>
      <c r="C292">
        <v>1</v>
      </c>
      <c r="D292">
        <v>5000</v>
      </c>
      <c r="E292">
        <v>5000</v>
      </c>
      <c r="F292">
        <v>3.9489999999999998</v>
      </c>
      <c r="G292">
        <v>9926</v>
      </c>
      <c r="H292">
        <v>6</v>
      </c>
      <c r="I292">
        <v>41</v>
      </c>
      <c r="J292">
        <v>86</v>
      </c>
      <c r="K292">
        <v>86</v>
      </c>
      <c r="L292">
        <v>939</v>
      </c>
      <c r="O292" s="2" t="str" cm="1">
        <f t="array" ref="O29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92" s="2" t="str" cm="1">
        <f t="array" ref="P292">_xlfn.IFS(Computed_insight___Success_of_active_sellers__2[[#This Row],[rating]]&gt;=4.5, "Excellent ", Computed_insight___Success_of_active_sellers__2[[#This Row],[rating]]&gt;=4, "Good ", Computed_insight___Success_of_active_sellers__2[[#This Row],[rating]]&gt;=3.5, "Average", TRUE, "Poor ")</f>
        <v>Average</v>
      </c>
      <c r="Q292" s="2" t="str" cm="1">
        <f t="array" ref="Q29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292" s="2" t="str">
        <f>IF(Computed_insight___Success_of_active_sellers__2[[#This Row],[totalurgencycount]]&gt;0, "Has Banner", "No Banner")</f>
        <v>No Banner</v>
      </c>
    </row>
    <row r="293" spans="1:18" x14ac:dyDescent="0.3">
      <c r="A293">
        <v>291</v>
      </c>
      <c r="B293" t="s">
        <v>537</v>
      </c>
      <c r="C293">
        <v>1</v>
      </c>
      <c r="D293">
        <v>5000</v>
      </c>
      <c r="E293">
        <v>5000</v>
      </c>
      <c r="F293">
        <v>3.9580000000000002</v>
      </c>
      <c r="G293">
        <v>5660</v>
      </c>
      <c r="H293">
        <v>11</v>
      </c>
      <c r="I293">
        <v>10</v>
      </c>
      <c r="J293">
        <v>-10</v>
      </c>
      <c r="K293">
        <v>-10</v>
      </c>
      <c r="L293">
        <v>1897</v>
      </c>
      <c r="O293" s="2" t="str" cm="1">
        <f t="array" ref="O29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93" s="2" t="str" cm="1">
        <f t="array" ref="P293">_xlfn.IFS(Computed_insight___Success_of_active_sellers__2[[#This Row],[rating]]&gt;=4.5, "Excellent ", Computed_insight___Success_of_active_sellers__2[[#This Row],[rating]]&gt;=4, "Good ", Computed_insight___Success_of_active_sellers__2[[#This Row],[rating]]&gt;=3.5, "Average", TRUE, "Poor ")</f>
        <v>Average</v>
      </c>
      <c r="Q293" s="2" t="str" cm="1">
        <f t="array" ref="Q29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93" s="2" t="str">
        <f>IF(Computed_insight___Success_of_active_sellers__2[[#This Row],[totalurgencycount]]&gt;0, "Has Banner", "No Banner")</f>
        <v>No Banner</v>
      </c>
    </row>
    <row r="294" spans="1:18" x14ac:dyDescent="0.3">
      <c r="A294">
        <v>292</v>
      </c>
      <c r="B294" t="s">
        <v>296</v>
      </c>
      <c r="C294">
        <v>1</v>
      </c>
      <c r="D294">
        <v>5000</v>
      </c>
      <c r="E294">
        <v>5000</v>
      </c>
      <c r="F294">
        <v>3.96</v>
      </c>
      <c r="G294">
        <v>15173</v>
      </c>
      <c r="H294">
        <v>19</v>
      </c>
      <c r="I294">
        <v>17</v>
      </c>
      <c r="J294">
        <v>-11</v>
      </c>
      <c r="K294">
        <v>-11</v>
      </c>
      <c r="L294">
        <v>1163</v>
      </c>
      <c r="M294">
        <v>1</v>
      </c>
      <c r="N294">
        <v>100</v>
      </c>
      <c r="O294" s="2" t="str" cm="1">
        <f t="array" ref="O29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94" s="2" t="str" cm="1">
        <f t="array" ref="P294">_xlfn.IFS(Computed_insight___Success_of_active_sellers__2[[#This Row],[rating]]&gt;=4.5, "Excellent ", Computed_insight___Success_of_active_sellers__2[[#This Row],[rating]]&gt;=4, "Good ", Computed_insight___Success_of_active_sellers__2[[#This Row],[rating]]&gt;=3.5, "Average", TRUE, "Poor ")</f>
        <v>Average</v>
      </c>
      <c r="Q294" s="2" t="str" cm="1">
        <f t="array" ref="Q29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94" s="2" t="str">
        <f>IF(Computed_insight___Success_of_active_sellers__2[[#This Row],[totalurgencycount]]&gt;0, "Has Banner", "No Banner")</f>
        <v>Has Banner</v>
      </c>
    </row>
    <row r="295" spans="1:18" x14ac:dyDescent="0.3">
      <c r="A295">
        <v>293</v>
      </c>
      <c r="B295" t="s">
        <v>699</v>
      </c>
      <c r="C295">
        <v>1</v>
      </c>
      <c r="D295">
        <v>5000</v>
      </c>
      <c r="E295">
        <v>5000</v>
      </c>
      <c r="F295">
        <v>3.96</v>
      </c>
      <c r="G295">
        <v>7874</v>
      </c>
      <c r="H295">
        <v>14</v>
      </c>
      <c r="I295">
        <v>27</v>
      </c>
      <c r="J295">
        <v>49</v>
      </c>
      <c r="K295">
        <v>49</v>
      </c>
      <c r="L295">
        <v>1442</v>
      </c>
      <c r="M295">
        <v>1</v>
      </c>
      <c r="N295">
        <v>100</v>
      </c>
      <c r="O295" s="2" t="str" cm="1">
        <f t="array" ref="O29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95" s="2" t="str" cm="1">
        <f t="array" ref="P295">_xlfn.IFS(Computed_insight___Success_of_active_sellers__2[[#This Row],[rating]]&gt;=4.5, "Excellent ", Computed_insight___Success_of_active_sellers__2[[#This Row],[rating]]&gt;=4, "Good ", Computed_insight___Success_of_active_sellers__2[[#This Row],[rating]]&gt;=3.5, "Average", TRUE, "Poor ")</f>
        <v>Average</v>
      </c>
      <c r="Q295" s="2" t="str" cm="1">
        <f t="array" ref="Q295">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95" s="2" t="str">
        <f>IF(Computed_insight___Success_of_active_sellers__2[[#This Row],[totalurgencycount]]&gt;0, "Has Banner", "No Banner")</f>
        <v>Has Banner</v>
      </c>
    </row>
    <row r="296" spans="1:18" x14ac:dyDescent="0.3">
      <c r="A296">
        <v>294</v>
      </c>
      <c r="B296" t="s">
        <v>785</v>
      </c>
      <c r="C296">
        <v>1</v>
      </c>
      <c r="D296">
        <v>5000</v>
      </c>
      <c r="E296">
        <v>5000</v>
      </c>
      <c r="F296">
        <v>3.9660000000000002</v>
      </c>
      <c r="G296">
        <v>1029</v>
      </c>
      <c r="H296">
        <v>2</v>
      </c>
      <c r="I296">
        <v>2</v>
      </c>
      <c r="J296">
        <v>0</v>
      </c>
      <c r="K296">
        <v>0</v>
      </c>
      <c r="L296">
        <v>320</v>
      </c>
      <c r="O296" s="2" t="str" cm="1">
        <f t="array" ref="O29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96" s="2" t="str" cm="1">
        <f t="array" ref="P296">_xlfn.IFS(Computed_insight___Success_of_active_sellers__2[[#This Row],[rating]]&gt;=4.5, "Excellent ", Computed_insight___Success_of_active_sellers__2[[#This Row],[rating]]&gt;=4, "Good ", Computed_insight___Success_of_active_sellers__2[[#This Row],[rating]]&gt;=3.5, "Average", TRUE, "Poor ")</f>
        <v>Average</v>
      </c>
      <c r="Q296" s="2" t="str" cm="1">
        <f t="array" ref="Q29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96" s="2" t="str">
        <f>IF(Computed_insight___Success_of_active_sellers__2[[#This Row],[totalurgencycount]]&gt;0, "Has Banner", "No Banner")</f>
        <v>No Banner</v>
      </c>
    </row>
    <row r="297" spans="1:18" x14ac:dyDescent="0.3">
      <c r="A297">
        <v>295</v>
      </c>
      <c r="B297" t="s">
        <v>85</v>
      </c>
      <c r="C297">
        <v>1</v>
      </c>
      <c r="D297">
        <v>5000</v>
      </c>
      <c r="E297">
        <v>5000</v>
      </c>
      <c r="F297">
        <v>3.9780000000000002</v>
      </c>
      <c r="G297">
        <v>1288</v>
      </c>
      <c r="H297">
        <v>12</v>
      </c>
      <c r="I297">
        <v>17</v>
      </c>
      <c r="J297">
        <v>30</v>
      </c>
      <c r="K297">
        <v>30</v>
      </c>
      <c r="L297">
        <v>387</v>
      </c>
      <c r="O297" s="2" t="str" cm="1">
        <f t="array" ref="O29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97" s="2" t="str" cm="1">
        <f t="array" ref="P297">_xlfn.IFS(Computed_insight___Success_of_active_sellers__2[[#This Row],[rating]]&gt;=4.5, "Excellent ", Computed_insight___Success_of_active_sellers__2[[#This Row],[rating]]&gt;=4, "Good ", Computed_insight___Success_of_active_sellers__2[[#This Row],[rating]]&gt;=3.5, "Average", TRUE, "Poor ")</f>
        <v>Average</v>
      </c>
      <c r="Q297" s="2" t="str" cm="1">
        <f t="array" ref="Q297">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297" s="2" t="str">
        <f>IF(Computed_insight___Success_of_active_sellers__2[[#This Row],[totalurgencycount]]&gt;0, "Has Banner", "No Banner")</f>
        <v>No Banner</v>
      </c>
    </row>
    <row r="298" spans="1:18" x14ac:dyDescent="0.3">
      <c r="A298">
        <v>296</v>
      </c>
      <c r="B298" t="s">
        <v>286</v>
      </c>
      <c r="C298">
        <v>1</v>
      </c>
      <c r="D298">
        <v>5000</v>
      </c>
      <c r="E298">
        <v>5000</v>
      </c>
      <c r="F298">
        <v>3.9809999999999999</v>
      </c>
      <c r="G298">
        <v>56745</v>
      </c>
      <c r="H298">
        <v>13</v>
      </c>
      <c r="I298">
        <v>11</v>
      </c>
      <c r="J298">
        <v>-18</v>
      </c>
      <c r="K298">
        <v>-18</v>
      </c>
      <c r="L298">
        <v>1224</v>
      </c>
      <c r="O298" s="2" t="str" cm="1">
        <f t="array" ref="O29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98" s="2" t="str" cm="1">
        <f t="array" ref="P298">_xlfn.IFS(Computed_insight___Success_of_active_sellers__2[[#This Row],[rating]]&gt;=4.5, "Excellent ", Computed_insight___Success_of_active_sellers__2[[#This Row],[rating]]&gt;=4, "Good ", Computed_insight___Success_of_active_sellers__2[[#This Row],[rating]]&gt;=3.5, "Average", TRUE, "Poor ")</f>
        <v>Average</v>
      </c>
      <c r="Q298" s="2" t="str" cm="1">
        <f t="array" ref="Q29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98" s="2" t="str">
        <f>IF(Computed_insight___Success_of_active_sellers__2[[#This Row],[totalurgencycount]]&gt;0, "Has Banner", "No Banner")</f>
        <v>No Banner</v>
      </c>
    </row>
    <row r="299" spans="1:18" x14ac:dyDescent="0.3">
      <c r="A299">
        <v>297</v>
      </c>
      <c r="B299" t="s">
        <v>936</v>
      </c>
      <c r="C299">
        <v>1</v>
      </c>
      <c r="D299">
        <v>5000</v>
      </c>
      <c r="E299">
        <v>5000</v>
      </c>
      <c r="F299">
        <v>3.9809999999999999</v>
      </c>
      <c r="G299">
        <v>1821</v>
      </c>
      <c r="H299">
        <v>9</v>
      </c>
      <c r="I299">
        <v>8</v>
      </c>
      <c r="J299">
        <v>-12</v>
      </c>
      <c r="K299">
        <v>-12</v>
      </c>
      <c r="L299">
        <v>593</v>
      </c>
      <c r="O299" s="2" t="str" cm="1">
        <f t="array" ref="O29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299" s="2" t="str" cm="1">
        <f t="array" ref="P299">_xlfn.IFS(Computed_insight___Success_of_active_sellers__2[[#This Row],[rating]]&gt;=4.5, "Excellent ", Computed_insight___Success_of_active_sellers__2[[#This Row],[rating]]&gt;=4, "Good ", Computed_insight___Success_of_active_sellers__2[[#This Row],[rating]]&gt;=3.5, "Average", TRUE, "Poor ")</f>
        <v>Average</v>
      </c>
      <c r="Q299" s="2" t="str" cm="1">
        <f t="array" ref="Q29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299" s="2" t="str">
        <f>IF(Computed_insight___Success_of_active_sellers__2[[#This Row],[totalurgencycount]]&gt;0, "Has Banner", "No Banner")</f>
        <v>No Banner</v>
      </c>
    </row>
    <row r="300" spans="1:18" x14ac:dyDescent="0.3">
      <c r="A300">
        <v>298</v>
      </c>
      <c r="B300" t="s">
        <v>465</v>
      </c>
      <c r="C300">
        <v>1</v>
      </c>
      <c r="D300">
        <v>5000</v>
      </c>
      <c r="E300">
        <v>5000</v>
      </c>
      <c r="F300">
        <v>3.9860000000000002</v>
      </c>
      <c r="G300">
        <v>3915</v>
      </c>
      <c r="H300">
        <v>9</v>
      </c>
      <c r="I300">
        <v>8</v>
      </c>
      <c r="J300">
        <v>-12</v>
      </c>
      <c r="K300">
        <v>-12</v>
      </c>
      <c r="L300">
        <v>878</v>
      </c>
      <c r="M300">
        <v>1</v>
      </c>
      <c r="N300">
        <v>100</v>
      </c>
      <c r="O300" s="2" t="str" cm="1">
        <f t="array" ref="O30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00" s="2" t="str" cm="1">
        <f t="array" ref="P300">_xlfn.IFS(Computed_insight___Success_of_active_sellers__2[[#This Row],[rating]]&gt;=4.5, "Excellent ", Computed_insight___Success_of_active_sellers__2[[#This Row],[rating]]&gt;=4, "Good ", Computed_insight___Success_of_active_sellers__2[[#This Row],[rating]]&gt;=3.5, "Average", TRUE, "Poor ")</f>
        <v>Average</v>
      </c>
      <c r="Q300" s="2" t="str" cm="1">
        <f t="array" ref="Q30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00" s="2" t="str">
        <f>IF(Computed_insight___Success_of_active_sellers__2[[#This Row],[totalurgencycount]]&gt;0, "Has Banner", "No Banner")</f>
        <v>Has Banner</v>
      </c>
    </row>
    <row r="301" spans="1:18" x14ac:dyDescent="0.3">
      <c r="A301">
        <v>299</v>
      </c>
      <c r="B301" t="s">
        <v>620</v>
      </c>
      <c r="C301">
        <v>1</v>
      </c>
      <c r="D301">
        <v>5000</v>
      </c>
      <c r="E301">
        <v>5000</v>
      </c>
      <c r="F301">
        <v>3.9950000000000001</v>
      </c>
      <c r="G301">
        <v>7889</v>
      </c>
      <c r="H301">
        <v>9</v>
      </c>
      <c r="I301">
        <v>50</v>
      </c>
      <c r="J301">
        <v>82</v>
      </c>
      <c r="K301">
        <v>82</v>
      </c>
      <c r="L301">
        <v>985</v>
      </c>
      <c r="O301" s="2" t="str" cm="1">
        <f t="array" ref="O30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01" s="2" t="str" cm="1">
        <f t="array" ref="P301">_xlfn.IFS(Computed_insight___Success_of_active_sellers__2[[#This Row],[rating]]&gt;=4.5, "Excellent ", Computed_insight___Success_of_active_sellers__2[[#This Row],[rating]]&gt;=4, "Good ", Computed_insight___Success_of_active_sellers__2[[#This Row],[rating]]&gt;=3.5, "Average", TRUE, "Poor ")</f>
        <v>Average</v>
      </c>
      <c r="Q301" s="2" t="str" cm="1">
        <f t="array" ref="Q30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01" s="2" t="str">
        <f>IF(Computed_insight___Success_of_active_sellers__2[[#This Row],[totalurgencycount]]&gt;0, "Has Banner", "No Banner")</f>
        <v>No Banner</v>
      </c>
    </row>
    <row r="302" spans="1:18" x14ac:dyDescent="0.3">
      <c r="A302">
        <v>300</v>
      </c>
      <c r="B302" t="s">
        <v>916</v>
      </c>
      <c r="C302">
        <v>1</v>
      </c>
      <c r="D302">
        <v>5000</v>
      </c>
      <c r="E302">
        <v>5000</v>
      </c>
      <c r="F302">
        <v>4.0019999999999998</v>
      </c>
      <c r="G302">
        <v>12574</v>
      </c>
      <c r="H302">
        <v>8</v>
      </c>
      <c r="I302">
        <v>7</v>
      </c>
      <c r="J302">
        <v>-14</v>
      </c>
      <c r="K302">
        <v>-14</v>
      </c>
      <c r="L302">
        <v>581</v>
      </c>
      <c r="M302">
        <v>1</v>
      </c>
      <c r="N302">
        <v>100</v>
      </c>
      <c r="O302" s="2" t="str" cm="1">
        <f t="array" ref="O30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02" s="2" t="str" cm="1">
        <f t="array" ref="P302">_xlfn.IFS(Computed_insight___Success_of_active_sellers__2[[#This Row],[rating]]&gt;=4.5, "Excellent ", Computed_insight___Success_of_active_sellers__2[[#This Row],[rating]]&gt;=4, "Good ", Computed_insight___Success_of_active_sellers__2[[#This Row],[rating]]&gt;=3.5, "Average", TRUE, "Poor ")</f>
        <v xml:space="preserve">Good </v>
      </c>
      <c r="Q302" s="2" t="str" cm="1">
        <f t="array" ref="Q30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02" s="2" t="str">
        <f>IF(Computed_insight___Success_of_active_sellers__2[[#This Row],[totalurgencycount]]&gt;0, "Has Banner", "No Banner")</f>
        <v>Has Banner</v>
      </c>
    </row>
    <row r="303" spans="1:18" x14ac:dyDescent="0.3">
      <c r="A303">
        <v>301</v>
      </c>
      <c r="B303" t="s">
        <v>512</v>
      </c>
      <c r="C303">
        <v>1</v>
      </c>
      <c r="D303">
        <v>5000</v>
      </c>
      <c r="E303">
        <v>5000</v>
      </c>
      <c r="F303">
        <v>4.0149999999999997</v>
      </c>
      <c r="G303">
        <v>1181</v>
      </c>
      <c r="H303">
        <v>9</v>
      </c>
      <c r="I303">
        <v>19</v>
      </c>
      <c r="J303">
        <v>53</v>
      </c>
      <c r="K303">
        <v>53</v>
      </c>
      <c r="L303">
        <v>588</v>
      </c>
      <c r="O303" s="2" t="str" cm="1">
        <f t="array" ref="O30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03" s="2" t="str" cm="1">
        <f t="array" ref="P303">_xlfn.IFS(Computed_insight___Success_of_active_sellers__2[[#This Row],[rating]]&gt;=4.5, "Excellent ", Computed_insight___Success_of_active_sellers__2[[#This Row],[rating]]&gt;=4, "Good ", Computed_insight___Success_of_active_sellers__2[[#This Row],[rating]]&gt;=3.5, "Average", TRUE, "Poor ")</f>
        <v xml:space="preserve">Good </v>
      </c>
      <c r="Q303" s="2" t="str" cm="1">
        <f t="array" ref="Q30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03" s="2" t="str">
        <f>IF(Computed_insight___Success_of_active_sellers__2[[#This Row],[totalurgencycount]]&gt;0, "Has Banner", "No Banner")</f>
        <v>No Banner</v>
      </c>
    </row>
    <row r="304" spans="1:18" x14ac:dyDescent="0.3">
      <c r="A304">
        <v>302</v>
      </c>
      <c r="B304" t="s">
        <v>734</v>
      </c>
      <c r="C304">
        <v>1</v>
      </c>
      <c r="D304">
        <v>5000</v>
      </c>
      <c r="E304">
        <v>5000</v>
      </c>
      <c r="F304">
        <v>4.0179999999999998</v>
      </c>
      <c r="G304">
        <v>571</v>
      </c>
      <c r="H304">
        <v>12</v>
      </c>
      <c r="I304">
        <v>13</v>
      </c>
      <c r="J304">
        <v>8</v>
      </c>
      <c r="K304">
        <v>8</v>
      </c>
      <c r="L304">
        <v>192</v>
      </c>
      <c r="O304" s="2" t="str" cm="1">
        <f t="array" ref="O30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04" s="2" t="str" cm="1">
        <f t="array" ref="P304">_xlfn.IFS(Computed_insight___Success_of_active_sellers__2[[#This Row],[rating]]&gt;=4.5, "Excellent ", Computed_insight___Success_of_active_sellers__2[[#This Row],[rating]]&gt;=4, "Good ", Computed_insight___Success_of_active_sellers__2[[#This Row],[rating]]&gt;=3.5, "Average", TRUE, "Poor ")</f>
        <v xml:space="preserve">Good </v>
      </c>
      <c r="Q304" s="2" t="str" cm="1">
        <f t="array" ref="Q304">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304" s="2" t="str">
        <f>IF(Computed_insight___Success_of_active_sellers__2[[#This Row],[totalurgencycount]]&gt;0, "Has Banner", "No Banner")</f>
        <v>No Banner</v>
      </c>
    </row>
    <row r="305" spans="1:18" x14ac:dyDescent="0.3">
      <c r="A305">
        <v>303</v>
      </c>
      <c r="B305" t="s">
        <v>257</v>
      </c>
      <c r="C305">
        <v>1</v>
      </c>
      <c r="D305">
        <v>5000</v>
      </c>
      <c r="E305">
        <v>5000</v>
      </c>
      <c r="F305">
        <v>4.0220000000000002</v>
      </c>
      <c r="G305">
        <v>35751</v>
      </c>
      <c r="H305">
        <v>11</v>
      </c>
      <c r="I305">
        <v>88</v>
      </c>
      <c r="J305">
        <v>88</v>
      </c>
      <c r="K305">
        <v>88</v>
      </c>
      <c r="L305">
        <v>1514</v>
      </c>
      <c r="O305" s="2" t="str" cm="1">
        <f t="array" ref="O30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05" s="2" t="str" cm="1">
        <f t="array" ref="P305">_xlfn.IFS(Computed_insight___Success_of_active_sellers__2[[#This Row],[rating]]&gt;=4.5, "Excellent ", Computed_insight___Success_of_active_sellers__2[[#This Row],[rating]]&gt;=4, "Good ", Computed_insight___Success_of_active_sellers__2[[#This Row],[rating]]&gt;=3.5, "Average", TRUE, "Poor ")</f>
        <v xml:space="preserve">Good </v>
      </c>
      <c r="Q305" s="2" t="str" cm="1">
        <f t="array" ref="Q30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05" s="2" t="str">
        <f>IF(Computed_insight___Success_of_active_sellers__2[[#This Row],[totalurgencycount]]&gt;0, "Has Banner", "No Banner")</f>
        <v>No Banner</v>
      </c>
    </row>
    <row r="306" spans="1:18" x14ac:dyDescent="0.3">
      <c r="A306">
        <v>304</v>
      </c>
      <c r="B306" t="s">
        <v>149</v>
      </c>
      <c r="C306">
        <v>1</v>
      </c>
      <c r="D306">
        <v>5000</v>
      </c>
      <c r="E306">
        <v>5000</v>
      </c>
      <c r="F306">
        <v>4.0250000000000004</v>
      </c>
      <c r="G306">
        <v>12033</v>
      </c>
      <c r="H306">
        <v>7</v>
      </c>
      <c r="I306">
        <v>6</v>
      </c>
      <c r="J306">
        <v>-16</v>
      </c>
      <c r="K306">
        <v>-16</v>
      </c>
      <c r="L306">
        <v>601</v>
      </c>
      <c r="O306" s="2" t="str" cm="1">
        <f t="array" ref="O30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06" s="2" t="str" cm="1">
        <f t="array" ref="P306">_xlfn.IFS(Computed_insight___Success_of_active_sellers__2[[#This Row],[rating]]&gt;=4.5, "Excellent ", Computed_insight___Success_of_active_sellers__2[[#This Row],[rating]]&gt;=4, "Good ", Computed_insight___Success_of_active_sellers__2[[#This Row],[rating]]&gt;=3.5, "Average", TRUE, "Poor ")</f>
        <v xml:space="preserve">Good </v>
      </c>
      <c r="Q306" s="2" t="str" cm="1">
        <f t="array" ref="Q30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06" s="2" t="str">
        <f>IF(Computed_insight___Success_of_active_sellers__2[[#This Row],[totalurgencycount]]&gt;0, "Has Banner", "No Banner")</f>
        <v>No Banner</v>
      </c>
    </row>
    <row r="307" spans="1:18" x14ac:dyDescent="0.3">
      <c r="A307">
        <v>305</v>
      </c>
      <c r="B307" t="s">
        <v>567</v>
      </c>
      <c r="C307">
        <v>1</v>
      </c>
      <c r="D307">
        <v>5000</v>
      </c>
      <c r="E307">
        <v>5000</v>
      </c>
      <c r="F307">
        <v>4.0289999999999999</v>
      </c>
      <c r="G307">
        <v>5995</v>
      </c>
      <c r="H307">
        <v>5</v>
      </c>
      <c r="I307">
        <v>5</v>
      </c>
      <c r="J307">
        <v>0</v>
      </c>
      <c r="K307">
        <v>0</v>
      </c>
      <c r="L307">
        <v>763</v>
      </c>
      <c r="O307" s="2" t="str" cm="1">
        <f t="array" ref="O30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07" s="2" t="str" cm="1">
        <f t="array" ref="P307">_xlfn.IFS(Computed_insight___Success_of_active_sellers__2[[#This Row],[rating]]&gt;=4.5, "Excellent ", Computed_insight___Success_of_active_sellers__2[[#This Row],[rating]]&gt;=4, "Good ", Computed_insight___Success_of_active_sellers__2[[#This Row],[rating]]&gt;=3.5, "Average", TRUE, "Poor ")</f>
        <v xml:space="preserve">Good </v>
      </c>
      <c r="Q307" s="2" t="str" cm="1">
        <f t="array" ref="Q30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07" s="2" t="str">
        <f>IF(Computed_insight___Success_of_active_sellers__2[[#This Row],[totalurgencycount]]&gt;0, "Has Banner", "No Banner")</f>
        <v>No Banner</v>
      </c>
    </row>
    <row r="308" spans="1:18" x14ac:dyDescent="0.3">
      <c r="A308">
        <v>306</v>
      </c>
      <c r="B308" t="s">
        <v>387</v>
      </c>
      <c r="C308">
        <v>1</v>
      </c>
      <c r="D308">
        <v>5000</v>
      </c>
      <c r="E308">
        <v>5000</v>
      </c>
      <c r="F308">
        <v>4.04</v>
      </c>
      <c r="G308">
        <v>32323</v>
      </c>
      <c r="H308">
        <v>15</v>
      </c>
      <c r="I308">
        <v>13</v>
      </c>
      <c r="J308">
        <v>-15</v>
      </c>
      <c r="K308">
        <v>-15</v>
      </c>
      <c r="L308">
        <v>1632</v>
      </c>
      <c r="O308" s="2" t="str" cm="1">
        <f t="array" ref="O30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08" s="2" t="str" cm="1">
        <f t="array" ref="P308">_xlfn.IFS(Computed_insight___Success_of_active_sellers__2[[#This Row],[rating]]&gt;=4.5, "Excellent ", Computed_insight___Success_of_active_sellers__2[[#This Row],[rating]]&gt;=4, "Good ", Computed_insight___Success_of_active_sellers__2[[#This Row],[rating]]&gt;=3.5, "Average", TRUE, "Poor ")</f>
        <v xml:space="preserve">Good </v>
      </c>
      <c r="Q308" s="2" t="str" cm="1">
        <f t="array" ref="Q30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08" s="2" t="str">
        <f>IF(Computed_insight___Success_of_active_sellers__2[[#This Row],[totalurgencycount]]&gt;0, "Has Banner", "No Banner")</f>
        <v>No Banner</v>
      </c>
    </row>
    <row r="309" spans="1:18" x14ac:dyDescent="0.3">
      <c r="A309">
        <v>307</v>
      </c>
      <c r="B309" t="s">
        <v>818</v>
      </c>
      <c r="C309">
        <v>1</v>
      </c>
      <c r="D309">
        <v>5000</v>
      </c>
      <c r="E309">
        <v>5000</v>
      </c>
      <c r="F309">
        <v>4.0410000000000004</v>
      </c>
      <c r="G309">
        <v>15436</v>
      </c>
      <c r="H309">
        <v>6</v>
      </c>
      <c r="I309">
        <v>6</v>
      </c>
      <c r="J309">
        <v>0</v>
      </c>
      <c r="K309">
        <v>0</v>
      </c>
      <c r="L309">
        <v>616</v>
      </c>
      <c r="O309" s="2" t="str" cm="1">
        <f t="array" ref="O30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09" s="2" t="str" cm="1">
        <f t="array" ref="P309">_xlfn.IFS(Computed_insight___Success_of_active_sellers__2[[#This Row],[rating]]&gt;=4.5, "Excellent ", Computed_insight___Success_of_active_sellers__2[[#This Row],[rating]]&gt;=4, "Good ", Computed_insight___Success_of_active_sellers__2[[#This Row],[rating]]&gt;=3.5, "Average", TRUE, "Poor ")</f>
        <v xml:space="preserve">Good </v>
      </c>
      <c r="Q309" s="2" t="str" cm="1">
        <f t="array" ref="Q30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09" s="2" t="str">
        <f>IF(Computed_insight___Success_of_active_sellers__2[[#This Row],[totalurgencycount]]&gt;0, "Has Banner", "No Banner")</f>
        <v>No Banner</v>
      </c>
    </row>
    <row r="310" spans="1:18" x14ac:dyDescent="0.3">
      <c r="A310">
        <v>308</v>
      </c>
      <c r="B310" t="s">
        <v>554</v>
      </c>
      <c r="C310">
        <v>1</v>
      </c>
      <c r="D310">
        <v>5000</v>
      </c>
      <c r="E310">
        <v>5000</v>
      </c>
      <c r="F310">
        <v>4.0410000000000004</v>
      </c>
      <c r="G310">
        <v>14194</v>
      </c>
      <c r="H310">
        <v>8</v>
      </c>
      <c r="I310">
        <v>7</v>
      </c>
      <c r="J310">
        <v>-14</v>
      </c>
      <c r="K310">
        <v>-14</v>
      </c>
      <c r="L310">
        <v>1248</v>
      </c>
      <c r="O310" s="2" t="str" cm="1">
        <f t="array" ref="O31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10" s="2" t="str" cm="1">
        <f t="array" ref="P310">_xlfn.IFS(Computed_insight___Success_of_active_sellers__2[[#This Row],[rating]]&gt;=4.5, "Excellent ", Computed_insight___Success_of_active_sellers__2[[#This Row],[rating]]&gt;=4, "Good ", Computed_insight___Success_of_active_sellers__2[[#This Row],[rating]]&gt;=3.5, "Average", TRUE, "Poor ")</f>
        <v xml:space="preserve">Good </v>
      </c>
      <c r="Q310" s="2" t="str" cm="1">
        <f t="array" ref="Q31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10" s="2" t="str">
        <f>IF(Computed_insight___Success_of_active_sellers__2[[#This Row],[totalurgencycount]]&gt;0, "Has Banner", "No Banner")</f>
        <v>No Banner</v>
      </c>
    </row>
    <row r="311" spans="1:18" x14ac:dyDescent="0.3">
      <c r="A311">
        <v>309</v>
      </c>
      <c r="B311" t="s">
        <v>909</v>
      </c>
      <c r="C311">
        <v>1</v>
      </c>
      <c r="D311">
        <v>5000</v>
      </c>
      <c r="E311">
        <v>5000</v>
      </c>
      <c r="F311">
        <v>4.0449999999999999</v>
      </c>
      <c r="G311">
        <v>12933</v>
      </c>
      <c r="H311">
        <v>9</v>
      </c>
      <c r="I311">
        <v>8</v>
      </c>
      <c r="J311">
        <v>-12</v>
      </c>
      <c r="K311">
        <v>-12</v>
      </c>
      <c r="L311">
        <v>1336</v>
      </c>
      <c r="O311" s="2" t="str" cm="1">
        <f t="array" ref="O31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11" s="2" t="str" cm="1">
        <f t="array" ref="P311">_xlfn.IFS(Computed_insight___Success_of_active_sellers__2[[#This Row],[rating]]&gt;=4.5, "Excellent ", Computed_insight___Success_of_active_sellers__2[[#This Row],[rating]]&gt;=4, "Good ", Computed_insight___Success_of_active_sellers__2[[#This Row],[rating]]&gt;=3.5, "Average", TRUE, "Poor ")</f>
        <v xml:space="preserve">Good </v>
      </c>
      <c r="Q311" s="2" t="str" cm="1">
        <f t="array" ref="Q31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11" s="2" t="str">
        <f>IF(Computed_insight___Success_of_active_sellers__2[[#This Row],[totalurgencycount]]&gt;0, "Has Banner", "No Banner")</f>
        <v>No Banner</v>
      </c>
    </row>
    <row r="312" spans="1:18" x14ac:dyDescent="0.3">
      <c r="A312">
        <v>310</v>
      </c>
      <c r="B312" t="s">
        <v>784</v>
      </c>
      <c r="C312">
        <v>1</v>
      </c>
      <c r="D312">
        <v>5000</v>
      </c>
      <c r="E312">
        <v>5000</v>
      </c>
      <c r="F312">
        <v>4.0460000000000003</v>
      </c>
      <c r="G312">
        <v>2700</v>
      </c>
      <c r="H312">
        <v>8</v>
      </c>
      <c r="I312">
        <v>17</v>
      </c>
      <c r="J312">
        <v>53</v>
      </c>
      <c r="K312">
        <v>53</v>
      </c>
      <c r="L312">
        <v>787</v>
      </c>
      <c r="O312" s="2" t="str" cm="1">
        <f t="array" ref="O31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12" s="2" t="str" cm="1">
        <f t="array" ref="P312">_xlfn.IFS(Computed_insight___Success_of_active_sellers__2[[#This Row],[rating]]&gt;=4.5, "Excellent ", Computed_insight___Success_of_active_sellers__2[[#This Row],[rating]]&gt;=4, "Good ", Computed_insight___Success_of_active_sellers__2[[#This Row],[rating]]&gt;=3.5, "Average", TRUE, "Poor ")</f>
        <v xml:space="preserve">Good </v>
      </c>
      <c r="Q312" s="2" t="str" cm="1">
        <f t="array" ref="Q31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12" s="2" t="str">
        <f>IF(Computed_insight___Success_of_active_sellers__2[[#This Row],[totalurgencycount]]&gt;0, "Has Banner", "No Banner")</f>
        <v>No Banner</v>
      </c>
    </row>
    <row r="313" spans="1:18" x14ac:dyDescent="0.3">
      <c r="A313">
        <v>311</v>
      </c>
      <c r="B313" t="s">
        <v>440</v>
      </c>
      <c r="C313">
        <v>1</v>
      </c>
      <c r="D313">
        <v>5000</v>
      </c>
      <c r="E313">
        <v>5000</v>
      </c>
      <c r="F313">
        <v>4.048</v>
      </c>
      <c r="G313">
        <v>24771</v>
      </c>
      <c r="H313">
        <v>9</v>
      </c>
      <c r="I313">
        <v>8</v>
      </c>
      <c r="J313">
        <v>-12</v>
      </c>
      <c r="K313">
        <v>-12</v>
      </c>
      <c r="L313">
        <v>740</v>
      </c>
      <c r="O313" s="2" t="str" cm="1">
        <f t="array" ref="O31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13" s="2" t="str" cm="1">
        <f t="array" ref="P313">_xlfn.IFS(Computed_insight___Success_of_active_sellers__2[[#This Row],[rating]]&gt;=4.5, "Excellent ", Computed_insight___Success_of_active_sellers__2[[#This Row],[rating]]&gt;=4, "Good ", Computed_insight___Success_of_active_sellers__2[[#This Row],[rating]]&gt;=3.5, "Average", TRUE, "Poor ")</f>
        <v xml:space="preserve">Good </v>
      </c>
      <c r="Q313" s="2" t="str" cm="1">
        <f t="array" ref="Q31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13" s="2" t="str">
        <f>IF(Computed_insight___Success_of_active_sellers__2[[#This Row],[totalurgencycount]]&gt;0, "Has Banner", "No Banner")</f>
        <v>No Banner</v>
      </c>
    </row>
    <row r="314" spans="1:18" x14ac:dyDescent="0.3">
      <c r="A314">
        <v>312</v>
      </c>
      <c r="B314" t="s">
        <v>314</v>
      </c>
      <c r="C314">
        <v>1</v>
      </c>
      <c r="D314">
        <v>5000</v>
      </c>
      <c r="E314">
        <v>5000</v>
      </c>
      <c r="F314">
        <v>4.0529999999999999</v>
      </c>
      <c r="G314">
        <v>15855</v>
      </c>
      <c r="H314">
        <v>18</v>
      </c>
      <c r="I314">
        <v>27</v>
      </c>
      <c r="J314">
        <v>34</v>
      </c>
      <c r="K314">
        <v>34</v>
      </c>
      <c r="L314">
        <v>1903</v>
      </c>
      <c r="O314" s="2" t="str" cm="1">
        <f t="array" ref="O31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14" s="2" t="str" cm="1">
        <f t="array" ref="P314">_xlfn.IFS(Computed_insight___Success_of_active_sellers__2[[#This Row],[rating]]&gt;=4.5, "Excellent ", Computed_insight___Success_of_active_sellers__2[[#This Row],[rating]]&gt;=4, "Good ", Computed_insight___Success_of_active_sellers__2[[#This Row],[rating]]&gt;=3.5, "Average", TRUE, "Poor ")</f>
        <v xml:space="preserve">Good </v>
      </c>
      <c r="Q314" s="2" t="str" cm="1">
        <f t="array" ref="Q314">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314" s="2" t="str">
        <f>IF(Computed_insight___Success_of_active_sellers__2[[#This Row],[totalurgencycount]]&gt;0, "Has Banner", "No Banner")</f>
        <v>No Banner</v>
      </c>
    </row>
    <row r="315" spans="1:18" x14ac:dyDescent="0.3">
      <c r="A315">
        <v>313</v>
      </c>
      <c r="B315" t="s">
        <v>475</v>
      </c>
      <c r="C315">
        <v>1</v>
      </c>
      <c r="D315">
        <v>5000</v>
      </c>
      <c r="E315">
        <v>5000</v>
      </c>
      <c r="F315">
        <v>4.0540000000000003</v>
      </c>
      <c r="G315">
        <v>39395</v>
      </c>
      <c r="H315">
        <v>8</v>
      </c>
      <c r="I315">
        <v>7</v>
      </c>
      <c r="J315">
        <v>-14</v>
      </c>
      <c r="K315">
        <v>-14</v>
      </c>
      <c r="L315">
        <v>1269</v>
      </c>
      <c r="O315" s="2" t="str" cm="1">
        <f t="array" ref="O31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15" s="2" t="str" cm="1">
        <f t="array" ref="P315">_xlfn.IFS(Computed_insight___Success_of_active_sellers__2[[#This Row],[rating]]&gt;=4.5, "Excellent ", Computed_insight___Success_of_active_sellers__2[[#This Row],[rating]]&gt;=4, "Good ", Computed_insight___Success_of_active_sellers__2[[#This Row],[rating]]&gt;=3.5, "Average", TRUE, "Poor ")</f>
        <v xml:space="preserve">Good </v>
      </c>
      <c r="Q315" s="2" t="str" cm="1">
        <f t="array" ref="Q31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15" s="2" t="str">
        <f>IF(Computed_insight___Success_of_active_sellers__2[[#This Row],[totalurgencycount]]&gt;0, "Has Banner", "No Banner")</f>
        <v>No Banner</v>
      </c>
    </row>
    <row r="316" spans="1:18" x14ac:dyDescent="0.3">
      <c r="A316">
        <v>314</v>
      </c>
      <c r="B316" t="s">
        <v>644</v>
      </c>
      <c r="C316">
        <v>1</v>
      </c>
      <c r="D316">
        <v>5000</v>
      </c>
      <c r="E316">
        <v>5000</v>
      </c>
      <c r="F316">
        <v>4.0540000000000003</v>
      </c>
      <c r="G316">
        <v>13879</v>
      </c>
      <c r="H316">
        <v>11</v>
      </c>
      <c r="I316">
        <v>11</v>
      </c>
      <c r="J316">
        <v>0</v>
      </c>
      <c r="K316">
        <v>0</v>
      </c>
      <c r="L316">
        <v>1401</v>
      </c>
      <c r="O316" s="2" t="str" cm="1">
        <f t="array" ref="O31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16" s="2" t="str" cm="1">
        <f t="array" ref="P316">_xlfn.IFS(Computed_insight___Success_of_active_sellers__2[[#This Row],[rating]]&gt;=4.5, "Excellent ", Computed_insight___Success_of_active_sellers__2[[#This Row],[rating]]&gt;=4, "Good ", Computed_insight___Success_of_active_sellers__2[[#This Row],[rating]]&gt;=3.5, "Average", TRUE, "Poor ")</f>
        <v xml:space="preserve">Good </v>
      </c>
      <c r="Q316" s="2" t="str" cm="1">
        <f t="array" ref="Q31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16" s="2" t="str">
        <f>IF(Computed_insight___Success_of_active_sellers__2[[#This Row],[totalurgencycount]]&gt;0, "Has Banner", "No Banner")</f>
        <v>No Banner</v>
      </c>
    </row>
    <row r="317" spans="1:18" x14ac:dyDescent="0.3">
      <c r="A317">
        <v>315</v>
      </c>
      <c r="B317" t="s">
        <v>740</v>
      </c>
      <c r="C317">
        <v>1</v>
      </c>
      <c r="D317">
        <v>5000</v>
      </c>
      <c r="E317">
        <v>5000</v>
      </c>
      <c r="F317">
        <v>4.0570000000000004</v>
      </c>
      <c r="G317">
        <v>4335</v>
      </c>
      <c r="H317">
        <v>9</v>
      </c>
      <c r="I317">
        <v>8</v>
      </c>
      <c r="J317">
        <v>-12</v>
      </c>
      <c r="K317">
        <v>-12</v>
      </c>
      <c r="L317">
        <v>613</v>
      </c>
      <c r="O317" s="2" t="str" cm="1">
        <f t="array" ref="O31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17" s="2" t="str" cm="1">
        <f t="array" ref="P317">_xlfn.IFS(Computed_insight___Success_of_active_sellers__2[[#This Row],[rating]]&gt;=4.5, "Excellent ", Computed_insight___Success_of_active_sellers__2[[#This Row],[rating]]&gt;=4, "Good ", Computed_insight___Success_of_active_sellers__2[[#This Row],[rating]]&gt;=3.5, "Average", TRUE, "Poor ")</f>
        <v xml:space="preserve">Good </v>
      </c>
      <c r="Q317" s="2" t="str" cm="1">
        <f t="array" ref="Q31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17" s="2" t="str">
        <f>IF(Computed_insight___Success_of_active_sellers__2[[#This Row],[totalurgencycount]]&gt;0, "Has Banner", "No Banner")</f>
        <v>No Banner</v>
      </c>
    </row>
    <row r="318" spans="1:18" x14ac:dyDescent="0.3">
      <c r="A318">
        <v>316</v>
      </c>
      <c r="B318" t="s">
        <v>906</v>
      </c>
      <c r="C318">
        <v>1</v>
      </c>
      <c r="D318">
        <v>5000</v>
      </c>
      <c r="E318">
        <v>5000</v>
      </c>
      <c r="F318">
        <v>4.0579999999999998</v>
      </c>
      <c r="G318">
        <v>2359</v>
      </c>
      <c r="H318">
        <v>9</v>
      </c>
      <c r="I318">
        <v>13</v>
      </c>
      <c r="J318">
        <v>31</v>
      </c>
      <c r="K318">
        <v>31</v>
      </c>
      <c r="L318">
        <v>1017</v>
      </c>
      <c r="O318" s="2" t="str" cm="1">
        <f t="array" ref="O31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18" s="2" t="str" cm="1">
        <f t="array" ref="P318">_xlfn.IFS(Computed_insight___Success_of_active_sellers__2[[#This Row],[rating]]&gt;=4.5, "Excellent ", Computed_insight___Success_of_active_sellers__2[[#This Row],[rating]]&gt;=4, "Good ", Computed_insight___Success_of_active_sellers__2[[#This Row],[rating]]&gt;=3.5, "Average", TRUE, "Poor ")</f>
        <v xml:space="preserve">Good </v>
      </c>
      <c r="Q318" s="2" t="str" cm="1">
        <f t="array" ref="Q318">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318" s="2" t="str">
        <f>IF(Computed_insight___Success_of_active_sellers__2[[#This Row],[totalurgencycount]]&gt;0, "Has Banner", "No Banner")</f>
        <v>No Banner</v>
      </c>
    </row>
    <row r="319" spans="1:18" x14ac:dyDescent="0.3">
      <c r="A319">
        <v>317</v>
      </c>
      <c r="B319" t="s">
        <v>823</v>
      </c>
      <c r="C319">
        <v>1</v>
      </c>
      <c r="D319">
        <v>5000</v>
      </c>
      <c r="E319">
        <v>5000</v>
      </c>
      <c r="F319">
        <v>4.0640000000000001</v>
      </c>
      <c r="G319">
        <v>20824</v>
      </c>
      <c r="H319">
        <v>8</v>
      </c>
      <c r="I319">
        <v>65</v>
      </c>
      <c r="J319">
        <v>88</v>
      </c>
      <c r="K319">
        <v>88</v>
      </c>
      <c r="L319">
        <v>1366</v>
      </c>
      <c r="O319" s="2" t="str" cm="1">
        <f t="array" ref="O31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19" s="2" t="str" cm="1">
        <f t="array" ref="P319">_xlfn.IFS(Computed_insight___Success_of_active_sellers__2[[#This Row],[rating]]&gt;=4.5, "Excellent ", Computed_insight___Success_of_active_sellers__2[[#This Row],[rating]]&gt;=4, "Good ", Computed_insight___Success_of_active_sellers__2[[#This Row],[rating]]&gt;=3.5, "Average", TRUE, "Poor ")</f>
        <v xml:space="preserve">Good </v>
      </c>
      <c r="Q319" s="2" t="str" cm="1">
        <f t="array" ref="Q31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19" s="2" t="str">
        <f>IF(Computed_insight___Success_of_active_sellers__2[[#This Row],[totalurgencycount]]&gt;0, "Has Banner", "No Banner")</f>
        <v>No Banner</v>
      </c>
    </row>
    <row r="320" spans="1:18" x14ac:dyDescent="0.3">
      <c r="A320">
        <v>318</v>
      </c>
      <c r="B320" t="s">
        <v>946</v>
      </c>
      <c r="C320">
        <v>1</v>
      </c>
      <c r="D320">
        <v>5000</v>
      </c>
      <c r="E320">
        <v>5000</v>
      </c>
      <c r="F320">
        <v>4.069</v>
      </c>
      <c r="G320">
        <v>1998</v>
      </c>
      <c r="H320">
        <v>6</v>
      </c>
      <c r="I320">
        <v>29</v>
      </c>
      <c r="J320">
        <v>80</v>
      </c>
      <c r="K320">
        <v>80</v>
      </c>
      <c r="L320">
        <v>615</v>
      </c>
      <c r="O320" s="2" t="str" cm="1">
        <f t="array" ref="O32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20" s="2" t="str" cm="1">
        <f t="array" ref="P320">_xlfn.IFS(Computed_insight___Success_of_active_sellers__2[[#This Row],[rating]]&gt;=4.5, "Excellent ", Computed_insight___Success_of_active_sellers__2[[#This Row],[rating]]&gt;=4, "Good ", Computed_insight___Success_of_active_sellers__2[[#This Row],[rating]]&gt;=3.5, "Average", TRUE, "Poor ")</f>
        <v xml:space="preserve">Good </v>
      </c>
      <c r="Q320" s="2" t="str" cm="1">
        <f t="array" ref="Q32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20" s="2" t="str">
        <f>IF(Computed_insight___Success_of_active_sellers__2[[#This Row],[totalurgencycount]]&gt;0, "Has Banner", "No Banner")</f>
        <v>No Banner</v>
      </c>
    </row>
    <row r="321" spans="1:18" x14ac:dyDescent="0.3">
      <c r="A321">
        <v>319</v>
      </c>
      <c r="B321" t="s">
        <v>437</v>
      </c>
      <c r="C321">
        <v>1</v>
      </c>
      <c r="D321">
        <v>5000</v>
      </c>
      <c r="E321">
        <v>5000</v>
      </c>
      <c r="F321">
        <v>4.0709999999999997</v>
      </c>
      <c r="G321">
        <v>253249</v>
      </c>
      <c r="H321">
        <v>3.67</v>
      </c>
      <c r="I321">
        <v>9</v>
      </c>
      <c r="J321">
        <v>60</v>
      </c>
      <c r="K321">
        <v>60</v>
      </c>
      <c r="L321">
        <v>510</v>
      </c>
      <c r="M321">
        <v>1</v>
      </c>
      <c r="N321">
        <v>100</v>
      </c>
      <c r="O321" s="2" t="str" cm="1">
        <f t="array" ref="O32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21" s="2" t="str" cm="1">
        <f t="array" ref="P321">_xlfn.IFS(Computed_insight___Success_of_active_sellers__2[[#This Row],[rating]]&gt;=4.5, "Excellent ", Computed_insight___Success_of_active_sellers__2[[#This Row],[rating]]&gt;=4, "Good ", Computed_insight___Success_of_active_sellers__2[[#This Row],[rating]]&gt;=3.5, "Average", TRUE, "Poor ")</f>
        <v xml:space="preserve">Good </v>
      </c>
      <c r="Q321" s="2" t="str" cm="1">
        <f t="array" ref="Q32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21" s="2" t="str">
        <f>IF(Computed_insight___Success_of_active_sellers__2[[#This Row],[totalurgencycount]]&gt;0, "Has Banner", "No Banner")</f>
        <v>Has Banner</v>
      </c>
    </row>
    <row r="322" spans="1:18" x14ac:dyDescent="0.3">
      <c r="A322">
        <v>320</v>
      </c>
      <c r="B322" t="s">
        <v>701</v>
      </c>
      <c r="C322">
        <v>1</v>
      </c>
      <c r="D322">
        <v>5000</v>
      </c>
      <c r="E322">
        <v>5000</v>
      </c>
      <c r="F322">
        <v>4.0810000000000004</v>
      </c>
      <c r="G322">
        <v>8500</v>
      </c>
      <c r="H322">
        <v>11</v>
      </c>
      <c r="I322">
        <v>10</v>
      </c>
      <c r="J322">
        <v>-10</v>
      </c>
      <c r="K322">
        <v>-10</v>
      </c>
      <c r="L322">
        <v>728</v>
      </c>
      <c r="O322" s="2" t="str" cm="1">
        <f t="array" ref="O32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22" s="2" t="str" cm="1">
        <f t="array" ref="P322">_xlfn.IFS(Computed_insight___Success_of_active_sellers__2[[#This Row],[rating]]&gt;=4.5, "Excellent ", Computed_insight___Success_of_active_sellers__2[[#This Row],[rating]]&gt;=4, "Good ", Computed_insight___Success_of_active_sellers__2[[#This Row],[rating]]&gt;=3.5, "Average", TRUE, "Poor ")</f>
        <v xml:space="preserve">Good </v>
      </c>
      <c r="Q322" s="2" t="str" cm="1">
        <f t="array" ref="Q32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22" s="2" t="str">
        <f>IF(Computed_insight___Success_of_active_sellers__2[[#This Row],[totalurgencycount]]&gt;0, "Has Banner", "No Banner")</f>
        <v>No Banner</v>
      </c>
    </row>
    <row r="323" spans="1:18" x14ac:dyDescent="0.3">
      <c r="A323">
        <v>321</v>
      </c>
      <c r="B323" t="s">
        <v>354</v>
      </c>
      <c r="C323">
        <v>1</v>
      </c>
      <c r="D323">
        <v>5000</v>
      </c>
      <c r="E323">
        <v>5000</v>
      </c>
      <c r="F323">
        <v>4.0890000000000004</v>
      </c>
      <c r="G323">
        <v>5534</v>
      </c>
      <c r="H323">
        <v>5.65</v>
      </c>
      <c r="I323">
        <v>9</v>
      </c>
      <c r="J323">
        <v>38</v>
      </c>
      <c r="K323">
        <v>38</v>
      </c>
      <c r="L323">
        <v>1002</v>
      </c>
      <c r="M323">
        <v>1</v>
      </c>
      <c r="N323">
        <v>100</v>
      </c>
      <c r="O323" s="2" t="str" cm="1">
        <f t="array" ref="O32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23" s="2" t="str" cm="1">
        <f t="array" ref="P323">_xlfn.IFS(Computed_insight___Success_of_active_sellers__2[[#This Row],[rating]]&gt;=4.5, "Excellent ", Computed_insight___Success_of_active_sellers__2[[#This Row],[rating]]&gt;=4, "Good ", Computed_insight___Success_of_active_sellers__2[[#This Row],[rating]]&gt;=3.5, "Average", TRUE, "Poor ")</f>
        <v xml:space="preserve">Good </v>
      </c>
      <c r="Q323" s="2" t="str" cm="1">
        <f t="array" ref="Q323">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323" s="2" t="str">
        <f>IF(Computed_insight___Success_of_active_sellers__2[[#This Row],[totalurgencycount]]&gt;0, "Has Banner", "No Banner")</f>
        <v>Has Banner</v>
      </c>
    </row>
    <row r="324" spans="1:18" x14ac:dyDescent="0.3">
      <c r="A324">
        <v>322</v>
      </c>
      <c r="B324" t="s">
        <v>580</v>
      </c>
      <c r="C324">
        <v>1</v>
      </c>
      <c r="D324">
        <v>5000</v>
      </c>
      <c r="E324">
        <v>5000</v>
      </c>
      <c r="F324">
        <v>4.0910000000000002</v>
      </c>
      <c r="G324">
        <v>14275</v>
      </c>
      <c r="H324">
        <v>9</v>
      </c>
      <c r="I324">
        <v>8</v>
      </c>
      <c r="J324">
        <v>-12</v>
      </c>
      <c r="K324">
        <v>-12</v>
      </c>
      <c r="L324">
        <v>827</v>
      </c>
      <c r="O324" s="2" t="str" cm="1">
        <f t="array" ref="O32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24" s="2" t="str" cm="1">
        <f t="array" ref="P324">_xlfn.IFS(Computed_insight___Success_of_active_sellers__2[[#This Row],[rating]]&gt;=4.5, "Excellent ", Computed_insight___Success_of_active_sellers__2[[#This Row],[rating]]&gt;=4, "Good ", Computed_insight___Success_of_active_sellers__2[[#This Row],[rating]]&gt;=3.5, "Average", TRUE, "Poor ")</f>
        <v xml:space="preserve">Good </v>
      </c>
      <c r="Q324" s="2" t="str" cm="1">
        <f t="array" ref="Q32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24" s="2" t="str">
        <f>IF(Computed_insight___Success_of_active_sellers__2[[#This Row],[totalurgencycount]]&gt;0, "Has Banner", "No Banner")</f>
        <v>No Banner</v>
      </c>
    </row>
    <row r="325" spans="1:18" x14ac:dyDescent="0.3">
      <c r="A325">
        <v>323</v>
      </c>
      <c r="B325" t="s">
        <v>218</v>
      </c>
      <c r="C325">
        <v>1</v>
      </c>
      <c r="D325">
        <v>5000</v>
      </c>
      <c r="E325">
        <v>5000</v>
      </c>
      <c r="F325">
        <v>4.093</v>
      </c>
      <c r="G325">
        <v>9116</v>
      </c>
      <c r="H325">
        <v>19</v>
      </c>
      <c r="I325">
        <v>21</v>
      </c>
      <c r="J325">
        <v>10</v>
      </c>
      <c r="K325">
        <v>10</v>
      </c>
      <c r="L325">
        <v>1561</v>
      </c>
      <c r="M325">
        <v>1</v>
      </c>
      <c r="N325">
        <v>100</v>
      </c>
      <c r="O325" s="2" t="str" cm="1">
        <f t="array" ref="O32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25" s="2" t="str" cm="1">
        <f t="array" ref="P325">_xlfn.IFS(Computed_insight___Success_of_active_sellers__2[[#This Row],[rating]]&gt;=4.5, "Excellent ", Computed_insight___Success_of_active_sellers__2[[#This Row],[rating]]&gt;=4, "Good ", Computed_insight___Success_of_active_sellers__2[[#This Row],[rating]]&gt;=3.5, "Average", TRUE, "Poor ")</f>
        <v xml:space="preserve">Good </v>
      </c>
      <c r="Q325" s="2" t="str" cm="1">
        <f t="array" ref="Q325">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325" s="2" t="str">
        <f>IF(Computed_insight___Success_of_active_sellers__2[[#This Row],[totalurgencycount]]&gt;0, "Has Banner", "No Banner")</f>
        <v>Has Banner</v>
      </c>
    </row>
    <row r="326" spans="1:18" x14ac:dyDescent="0.3">
      <c r="A326">
        <v>324</v>
      </c>
      <c r="B326" t="s">
        <v>870</v>
      </c>
      <c r="C326">
        <v>1</v>
      </c>
      <c r="D326">
        <v>5000</v>
      </c>
      <c r="E326">
        <v>5000</v>
      </c>
      <c r="F326">
        <v>4.0999999999999996</v>
      </c>
      <c r="G326">
        <v>591</v>
      </c>
      <c r="H326">
        <v>2</v>
      </c>
      <c r="I326">
        <v>7</v>
      </c>
      <c r="J326">
        <v>72</v>
      </c>
      <c r="K326">
        <v>72</v>
      </c>
      <c r="L326">
        <v>239</v>
      </c>
      <c r="O326" s="2" t="str" cm="1">
        <f t="array" ref="O32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26" s="2" t="str" cm="1">
        <f t="array" ref="P326">_xlfn.IFS(Computed_insight___Success_of_active_sellers__2[[#This Row],[rating]]&gt;=4.5, "Excellent ", Computed_insight___Success_of_active_sellers__2[[#This Row],[rating]]&gt;=4, "Good ", Computed_insight___Success_of_active_sellers__2[[#This Row],[rating]]&gt;=3.5, "Average", TRUE, "Poor ")</f>
        <v xml:space="preserve">Good </v>
      </c>
      <c r="Q326" s="2" t="str" cm="1">
        <f t="array" ref="Q32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26" s="2" t="str">
        <f>IF(Computed_insight___Success_of_active_sellers__2[[#This Row],[totalurgencycount]]&gt;0, "Has Banner", "No Banner")</f>
        <v>No Banner</v>
      </c>
    </row>
    <row r="327" spans="1:18" x14ac:dyDescent="0.3">
      <c r="A327">
        <v>325</v>
      </c>
      <c r="B327" t="s">
        <v>820</v>
      </c>
      <c r="C327">
        <v>1</v>
      </c>
      <c r="D327">
        <v>5000</v>
      </c>
      <c r="E327">
        <v>5000</v>
      </c>
      <c r="F327">
        <v>4.1100000000000003</v>
      </c>
      <c r="G327">
        <v>4220</v>
      </c>
      <c r="H327">
        <v>14</v>
      </c>
      <c r="I327">
        <v>26</v>
      </c>
      <c r="J327">
        <v>47</v>
      </c>
      <c r="K327">
        <v>47</v>
      </c>
      <c r="L327">
        <v>437</v>
      </c>
      <c r="O327" s="2" t="str" cm="1">
        <f t="array" ref="O32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27" s="2" t="str" cm="1">
        <f t="array" ref="P327">_xlfn.IFS(Computed_insight___Success_of_active_sellers__2[[#This Row],[rating]]&gt;=4.5, "Excellent ", Computed_insight___Success_of_active_sellers__2[[#This Row],[rating]]&gt;=4, "Good ", Computed_insight___Success_of_active_sellers__2[[#This Row],[rating]]&gt;=3.5, "Average", TRUE, "Poor ")</f>
        <v xml:space="preserve">Good </v>
      </c>
      <c r="Q327" s="2" t="str" cm="1">
        <f t="array" ref="Q327">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327" s="2" t="str">
        <f>IF(Computed_insight___Success_of_active_sellers__2[[#This Row],[totalurgencycount]]&gt;0, "Has Banner", "No Banner")</f>
        <v>No Banner</v>
      </c>
    </row>
    <row r="328" spans="1:18" x14ac:dyDescent="0.3">
      <c r="A328">
        <v>326</v>
      </c>
      <c r="B328" t="s">
        <v>648</v>
      </c>
      <c r="C328">
        <v>1</v>
      </c>
      <c r="D328">
        <v>5000</v>
      </c>
      <c r="E328">
        <v>5000</v>
      </c>
      <c r="F328">
        <v>4.1210000000000004</v>
      </c>
      <c r="G328">
        <v>11883</v>
      </c>
      <c r="H328">
        <v>5</v>
      </c>
      <c r="I328">
        <v>5</v>
      </c>
      <c r="J328">
        <v>0</v>
      </c>
      <c r="K328">
        <v>0</v>
      </c>
      <c r="L328">
        <v>883</v>
      </c>
      <c r="O328" s="2" t="str" cm="1">
        <f t="array" ref="O32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28" s="2" t="str" cm="1">
        <f t="array" ref="P328">_xlfn.IFS(Computed_insight___Success_of_active_sellers__2[[#This Row],[rating]]&gt;=4.5, "Excellent ", Computed_insight___Success_of_active_sellers__2[[#This Row],[rating]]&gt;=4, "Good ", Computed_insight___Success_of_active_sellers__2[[#This Row],[rating]]&gt;=3.5, "Average", TRUE, "Poor ")</f>
        <v xml:space="preserve">Good </v>
      </c>
      <c r="Q328" s="2" t="str" cm="1">
        <f t="array" ref="Q32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28" s="2" t="str">
        <f>IF(Computed_insight___Success_of_active_sellers__2[[#This Row],[totalurgencycount]]&gt;0, "Has Banner", "No Banner")</f>
        <v>No Banner</v>
      </c>
    </row>
    <row r="329" spans="1:18" x14ac:dyDescent="0.3">
      <c r="A329">
        <v>327</v>
      </c>
      <c r="B329" t="s">
        <v>911</v>
      </c>
      <c r="C329">
        <v>1</v>
      </c>
      <c r="D329">
        <v>5000</v>
      </c>
      <c r="E329">
        <v>5000</v>
      </c>
      <c r="F329">
        <v>4.1310000000000002</v>
      </c>
      <c r="G329">
        <v>4921</v>
      </c>
      <c r="H329">
        <v>8</v>
      </c>
      <c r="I329">
        <v>7</v>
      </c>
      <c r="J329">
        <v>-14</v>
      </c>
      <c r="K329">
        <v>-14</v>
      </c>
      <c r="L329">
        <v>983</v>
      </c>
      <c r="O329" s="2" t="str" cm="1">
        <f t="array" ref="O32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29" s="2" t="str" cm="1">
        <f t="array" ref="P329">_xlfn.IFS(Computed_insight___Success_of_active_sellers__2[[#This Row],[rating]]&gt;=4.5, "Excellent ", Computed_insight___Success_of_active_sellers__2[[#This Row],[rating]]&gt;=4, "Good ", Computed_insight___Success_of_active_sellers__2[[#This Row],[rating]]&gt;=3.5, "Average", TRUE, "Poor ")</f>
        <v xml:space="preserve">Good </v>
      </c>
      <c r="Q329" s="2" t="str" cm="1">
        <f t="array" ref="Q32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29" s="2" t="str">
        <f>IF(Computed_insight___Success_of_active_sellers__2[[#This Row],[totalurgencycount]]&gt;0, "Has Banner", "No Banner")</f>
        <v>No Banner</v>
      </c>
    </row>
    <row r="330" spans="1:18" x14ac:dyDescent="0.3">
      <c r="A330">
        <v>328</v>
      </c>
      <c r="B330" t="s">
        <v>506</v>
      </c>
      <c r="C330">
        <v>1</v>
      </c>
      <c r="D330">
        <v>5000</v>
      </c>
      <c r="E330">
        <v>5000</v>
      </c>
      <c r="F330">
        <v>4.1349999999999998</v>
      </c>
      <c r="G330">
        <v>33705</v>
      </c>
      <c r="H330">
        <v>7</v>
      </c>
      <c r="I330">
        <v>9</v>
      </c>
      <c r="J330">
        <v>23</v>
      </c>
      <c r="K330">
        <v>23</v>
      </c>
      <c r="L330">
        <v>1169</v>
      </c>
      <c r="M330">
        <v>1</v>
      </c>
      <c r="N330">
        <v>100</v>
      </c>
      <c r="O330" s="2" t="str" cm="1">
        <f t="array" ref="O33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30" s="2" t="str" cm="1">
        <f t="array" ref="P330">_xlfn.IFS(Computed_insight___Success_of_active_sellers__2[[#This Row],[rating]]&gt;=4.5, "Excellent ", Computed_insight___Success_of_active_sellers__2[[#This Row],[rating]]&gt;=4, "Good ", Computed_insight___Success_of_active_sellers__2[[#This Row],[rating]]&gt;=3.5, "Average", TRUE, "Poor ")</f>
        <v xml:space="preserve">Good </v>
      </c>
      <c r="Q330" s="2" t="str" cm="1">
        <f t="array" ref="Q330">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330" s="2" t="str">
        <f>IF(Computed_insight___Success_of_active_sellers__2[[#This Row],[totalurgencycount]]&gt;0, "Has Banner", "No Banner")</f>
        <v>Has Banner</v>
      </c>
    </row>
    <row r="331" spans="1:18" x14ac:dyDescent="0.3">
      <c r="A331">
        <v>329</v>
      </c>
      <c r="B331" t="s">
        <v>813</v>
      </c>
      <c r="C331">
        <v>1</v>
      </c>
      <c r="D331">
        <v>5000</v>
      </c>
      <c r="E331">
        <v>5000</v>
      </c>
      <c r="F331">
        <v>4.1379999999999999</v>
      </c>
      <c r="G331">
        <v>9465</v>
      </c>
      <c r="H331">
        <v>5.69</v>
      </c>
      <c r="I331">
        <v>17</v>
      </c>
      <c r="J331">
        <v>67</v>
      </c>
      <c r="K331">
        <v>67</v>
      </c>
      <c r="L331">
        <v>922</v>
      </c>
      <c r="O331" s="2" t="str" cm="1">
        <f t="array" ref="O33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31" s="2" t="str" cm="1">
        <f t="array" ref="P331">_xlfn.IFS(Computed_insight___Success_of_active_sellers__2[[#This Row],[rating]]&gt;=4.5, "Excellent ", Computed_insight___Success_of_active_sellers__2[[#This Row],[rating]]&gt;=4, "Good ", Computed_insight___Success_of_active_sellers__2[[#This Row],[rating]]&gt;=3.5, "Average", TRUE, "Poor ")</f>
        <v xml:space="preserve">Good </v>
      </c>
      <c r="Q331" s="2" t="str" cm="1">
        <f t="array" ref="Q33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31" s="2" t="str">
        <f>IF(Computed_insight___Success_of_active_sellers__2[[#This Row],[totalurgencycount]]&gt;0, "Has Banner", "No Banner")</f>
        <v>No Banner</v>
      </c>
    </row>
    <row r="332" spans="1:18" x14ac:dyDescent="0.3">
      <c r="A332">
        <v>330</v>
      </c>
      <c r="B332" t="s">
        <v>312</v>
      </c>
      <c r="C332">
        <v>1</v>
      </c>
      <c r="D332">
        <v>5000</v>
      </c>
      <c r="E332">
        <v>5000</v>
      </c>
      <c r="F332">
        <v>4.1459999999999999</v>
      </c>
      <c r="G332">
        <v>2293</v>
      </c>
      <c r="H332">
        <v>3.73</v>
      </c>
      <c r="I332">
        <v>9</v>
      </c>
      <c r="J332">
        <v>59</v>
      </c>
      <c r="K332">
        <v>59</v>
      </c>
      <c r="L332">
        <v>856</v>
      </c>
      <c r="O332" s="2" t="str" cm="1">
        <f t="array" ref="O33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32" s="2" t="str" cm="1">
        <f t="array" ref="P332">_xlfn.IFS(Computed_insight___Success_of_active_sellers__2[[#This Row],[rating]]&gt;=4.5, "Excellent ", Computed_insight___Success_of_active_sellers__2[[#This Row],[rating]]&gt;=4, "Good ", Computed_insight___Success_of_active_sellers__2[[#This Row],[rating]]&gt;=3.5, "Average", TRUE, "Poor ")</f>
        <v xml:space="preserve">Good </v>
      </c>
      <c r="Q332" s="2" t="str" cm="1">
        <f t="array" ref="Q33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32" s="2" t="str">
        <f>IF(Computed_insight___Success_of_active_sellers__2[[#This Row],[totalurgencycount]]&gt;0, "Has Banner", "No Banner")</f>
        <v>No Banner</v>
      </c>
    </row>
    <row r="333" spans="1:18" x14ac:dyDescent="0.3">
      <c r="A333">
        <v>331</v>
      </c>
      <c r="B333" t="s">
        <v>926</v>
      </c>
      <c r="C333">
        <v>1</v>
      </c>
      <c r="D333">
        <v>5000</v>
      </c>
      <c r="E333">
        <v>5000</v>
      </c>
      <c r="F333">
        <v>4.1559999999999997</v>
      </c>
      <c r="G333">
        <v>13308</v>
      </c>
      <c r="H333">
        <v>6</v>
      </c>
      <c r="I333">
        <v>17</v>
      </c>
      <c r="J333">
        <v>65</v>
      </c>
      <c r="K333">
        <v>65</v>
      </c>
      <c r="L333">
        <v>1650</v>
      </c>
      <c r="O333" s="2" t="str" cm="1">
        <f t="array" ref="O33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33" s="2" t="str" cm="1">
        <f t="array" ref="P333">_xlfn.IFS(Computed_insight___Success_of_active_sellers__2[[#This Row],[rating]]&gt;=4.5, "Excellent ", Computed_insight___Success_of_active_sellers__2[[#This Row],[rating]]&gt;=4, "Good ", Computed_insight___Success_of_active_sellers__2[[#This Row],[rating]]&gt;=3.5, "Average", TRUE, "Poor ")</f>
        <v xml:space="preserve">Good </v>
      </c>
      <c r="Q333" s="2" t="str" cm="1">
        <f t="array" ref="Q33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33" s="2" t="str">
        <f>IF(Computed_insight___Success_of_active_sellers__2[[#This Row],[totalurgencycount]]&gt;0, "Has Banner", "No Banner")</f>
        <v>No Banner</v>
      </c>
    </row>
    <row r="334" spans="1:18" x14ac:dyDescent="0.3">
      <c r="A334">
        <v>332</v>
      </c>
      <c r="B334" t="s">
        <v>756</v>
      </c>
      <c r="C334">
        <v>1</v>
      </c>
      <c r="D334">
        <v>5000</v>
      </c>
      <c r="E334">
        <v>5000</v>
      </c>
      <c r="F334">
        <v>4.1580000000000004</v>
      </c>
      <c r="G334">
        <v>6476</v>
      </c>
      <c r="H334">
        <v>6</v>
      </c>
      <c r="I334">
        <v>38</v>
      </c>
      <c r="J334">
        <v>85</v>
      </c>
      <c r="K334">
        <v>85</v>
      </c>
      <c r="L334">
        <v>1442</v>
      </c>
      <c r="O334" s="2" t="str" cm="1">
        <f t="array" ref="O33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34" s="2" t="str" cm="1">
        <f t="array" ref="P334">_xlfn.IFS(Computed_insight___Success_of_active_sellers__2[[#This Row],[rating]]&gt;=4.5, "Excellent ", Computed_insight___Success_of_active_sellers__2[[#This Row],[rating]]&gt;=4, "Good ", Computed_insight___Success_of_active_sellers__2[[#This Row],[rating]]&gt;=3.5, "Average", TRUE, "Poor ")</f>
        <v xml:space="preserve">Good </v>
      </c>
      <c r="Q334" s="2" t="str" cm="1">
        <f t="array" ref="Q33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34" s="2" t="str">
        <f>IF(Computed_insight___Success_of_active_sellers__2[[#This Row],[totalurgencycount]]&gt;0, "Has Banner", "No Banner")</f>
        <v>No Banner</v>
      </c>
    </row>
    <row r="335" spans="1:18" x14ac:dyDescent="0.3">
      <c r="A335">
        <v>333</v>
      </c>
      <c r="B335" t="s">
        <v>877</v>
      </c>
      <c r="C335">
        <v>1</v>
      </c>
      <c r="D335">
        <v>5000</v>
      </c>
      <c r="E335">
        <v>5000</v>
      </c>
      <c r="F335">
        <v>4.1710000000000003</v>
      </c>
      <c r="G335">
        <v>602</v>
      </c>
      <c r="H335">
        <v>11</v>
      </c>
      <c r="I335">
        <v>38</v>
      </c>
      <c r="J335">
        <v>72</v>
      </c>
      <c r="K335">
        <v>72</v>
      </c>
      <c r="L335">
        <v>377</v>
      </c>
      <c r="O335" s="2" t="str" cm="1">
        <f t="array" ref="O33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35" s="2" t="str" cm="1">
        <f t="array" ref="P335">_xlfn.IFS(Computed_insight___Success_of_active_sellers__2[[#This Row],[rating]]&gt;=4.5, "Excellent ", Computed_insight___Success_of_active_sellers__2[[#This Row],[rating]]&gt;=4, "Good ", Computed_insight___Success_of_active_sellers__2[[#This Row],[rating]]&gt;=3.5, "Average", TRUE, "Poor ")</f>
        <v xml:space="preserve">Good </v>
      </c>
      <c r="Q335" s="2" t="str" cm="1">
        <f t="array" ref="Q33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35" s="2" t="str">
        <f>IF(Computed_insight___Success_of_active_sellers__2[[#This Row],[totalurgencycount]]&gt;0, "Has Banner", "No Banner")</f>
        <v>No Banner</v>
      </c>
    </row>
    <row r="336" spans="1:18" x14ac:dyDescent="0.3">
      <c r="A336">
        <v>334</v>
      </c>
      <c r="B336" t="s">
        <v>714</v>
      </c>
      <c r="C336">
        <v>1</v>
      </c>
      <c r="D336">
        <v>5000</v>
      </c>
      <c r="E336">
        <v>5000</v>
      </c>
      <c r="F336">
        <v>4.1760000000000002</v>
      </c>
      <c r="G336">
        <v>8166</v>
      </c>
      <c r="H336">
        <v>8</v>
      </c>
      <c r="I336">
        <v>7</v>
      </c>
      <c r="J336">
        <v>-14</v>
      </c>
      <c r="K336">
        <v>-14</v>
      </c>
      <c r="L336">
        <v>917</v>
      </c>
      <c r="O336" s="2" t="str" cm="1">
        <f t="array" ref="O33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36" s="2" t="str" cm="1">
        <f t="array" ref="P336">_xlfn.IFS(Computed_insight___Success_of_active_sellers__2[[#This Row],[rating]]&gt;=4.5, "Excellent ", Computed_insight___Success_of_active_sellers__2[[#This Row],[rating]]&gt;=4, "Good ", Computed_insight___Success_of_active_sellers__2[[#This Row],[rating]]&gt;=3.5, "Average", TRUE, "Poor ")</f>
        <v xml:space="preserve">Good </v>
      </c>
      <c r="Q336" s="2" t="str" cm="1">
        <f t="array" ref="Q33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36" s="2" t="str">
        <f>IF(Computed_insight___Success_of_active_sellers__2[[#This Row],[totalurgencycount]]&gt;0, "Has Banner", "No Banner")</f>
        <v>No Banner</v>
      </c>
    </row>
    <row r="337" spans="1:18" x14ac:dyDescent="0.3">
      <c r="A337">
        <v>335</v>
      </c>
      <c r="B337" t="s">
        <v>444</v>
      </c>
      <c r="C337">
        <v>1</v>
      </c>
      <c r="D337">
        <v>5000</v>
      </c>
      <c r="E337">
        <v>5000</v>
      </c>
      <c r="F337">
        <v>4.1769999999999996</v>
      </c>
      <c r="G337">
        <v>9486</v>
      </c>
      <c r="H337">
        <v>6</v>
      </c>
      <c r="I337">
        <v>6</v>
      </c>
      <c r="J337">
        <v>0</v>
      </c>
      <c r="K337">
        <v>0</v>
      </c>
      <c r="L337">
        <v>901</v>
      </c>
      <c r="O337" s="2" t="str" cm="1">
        <f t="array" ref="O33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37" s="2" t="str" cm="1">
        <f t="array" ref="P337">_xlfn.IFS(Computed_insight___Success_of_active_sellers__2[[#This Row],[rating]]&gt;=4.5, "Excellent ", Computed_insight___Success_of_active_sellers__2[[#This Row],[rating]]&gt;=4, "Good ", Computed_insight___Success_of_active_sellers__2[[#This Row],[rating]]&gt;=3.5, "Average", TRUE, "Poor ")</f>
        <v xml:space="preserve">Good </v>
      </c>
      <c r="Q337" s="2" t="str" cm="1">
        <f t="array" ref="Q33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37" s="2" t="str">
        <f>IF(Computed_insight___Success_of_active_sellers__2[[#This Row],[totalurgencycount]]&gt;0, "Has Banner", "No Banner")</f>
        <v>No Banner</v>
      </c>
    </row>
    <row r="338" spans="1:18" x14ac:dyDescent="0.3">
      <c r="A338">
        <v>336</v>
      </c>
      <c r="B338" t="s">
        <v>707</v>
      </c>
      <c r="C338">
        <v>1</v>
      </c>
      <c r="D338">
        <v>5000</v>
      </c>
      <c r="E338">
        <v>5000</v>
      </c>
      <c r="F338">
        <v>4.1779999999999999</v>
      </c>
      <c r="G338">
        <v>4373</v>
      </c>
      <c r="H338">
        <v>8</v>
      </c>
      <c r="I338">
        <v>7</v>
      </c>
      <c r="J338">
        <v>-14</v>
      </c>
      <c r="K338">
        <v>-14</v>
      </c>
      <c r="L338">
        <v>957</v>
      </c>
      <c r="O338" s="2" t="str" cm="1">
        <f t="array" ref="O33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38" s="2" t="str" cm="1">
        <f t="array" ref="P338">_xlfn.IFS(Computed_insight___Success_of_active_sellers__2[[#This Row],[rating]]&gt;=4.5, "Excellent ", Computed_insight___Success_of_active_sellers__2[[#This Row],[rating]]&gt;=4, "Good ", Computed_insight___Success_of_active_sellers__2[[#This Row],[rating]]&gt;=3.5, "Average", TRUE, "Poor ")</f>
        <v xml:space="preserve">Good </v>
      </c>
      <c r="Q338" s="2" t="str" cm="1">
        <f t="array" ref="Q33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38" s="2" t="str">
        <f>IF(Computed_insight___Success_of_active_sellers__2[[#This Row],[totalurgencycount]]&gt;0, "Has Banner", "No Banner")</f>
        <v>No Banner</v>
      </c>
    </row>
    <row r="339" spans="1:18" x14ac:dyDescent="0.3">
      <c r="A339">
        <v>337</v>
      </c>
      <c r="B339" t="s">
        <v>607</v>
      </c>
      <c r="C339">
        <v>1</v>
      </c>
      <c r="D339">
        <v>5000</v>
      </c>
      <c r="E339">
        <v>5000</v>
      </c>
      <c r="F339">
        <v>4.1929999999999996</v>
      </c>
      <c r="G339">
        <v>4632</v>
      </c>
      <c r="H339">
        <v>8</v>
      </c>
      <c r="I339">
        <v>58</v>
      </c>
      <c r="J339">
        <v>87</v>
      </c>
      <c r="K339">
        <v>87</v>
      </c>
      <c r="L339">
        <v>920</v>
      </c>
      <c r="O339" s="2" t="str" cm="1">
        <f t="array" ref="O33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39" s="2" t="str" cm="1">
        <f t="array" ref="P339">_xlfn.IFS(Computed_insight___Success_of_active_sellers__2[[#This Row],[rating]]&gt;=4.5, "Excellent ", Computed_insight___Success_of_active_sellers__2[[#This Row],[rating]]&gt;=4, "Good ", Computed_insight___Success_of_active_sellers__2[[#This Row],[rating]]&gt;=3.5, "Average", TRUE, "Poor ")</f>
        <v xml:space="preserve">Good </v>
      </c>
      <c r="Q339" s="2" t="str" cm="1">
        <f t="array" ref="Q33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39" s="2" t="str">
        <f>IF(Computed_insight___Success_of_active_sellers__2[[#This Row],[totalurgencycount]]&gt;0, "Has Banner", "No Banner")</f>
        <v>No Banner</v>
      </c>
    </row>
    <row r="340" spans="1:18" x14ac:dyDescent="0.3">
      <c r="A340">
        <v>338</v>
      </c>
      <c r="B340" t="s">
        <v>956</v>
      </c>
      <c r="C340">
        <v>1</v>
      </c>
      <c r="D340">
        <v>5000</v>
      </c>
      <c r="E340">
        <v>5000</v>
      </c>
      <c r="F340">
        <v>4.1929999999999996</v>
      </c>
      <c r="G340">
        <v>11680</v>
      </c>
      <c r="H340">
        <v>7</v>
      </c>
      <c r="I340">
        <v>25</v>
      </c>
      <c r="J340">
        <v>72</v>
      </c>
      <c r="K340">
        <v>72</v>
      </c>
      <c r="L340">
        <v>774</v>
      </c>
      <c r="O340" s="2" t="str" cm="1">
        <f t="array" ref="O34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40" s="2" t="str" cm="1">
        <f t="array" ref="P340">_xlfn.IFS(Computed_insight___Success_of_active_sellers__2[[#This Row],[rating]]&gt;=4.5, "Excellent ", Computed_insight___Success_of_active_sellers__2[[#This Row],[rating]]&gt;=4, "Good ", Computed_insight___Success_of_active_sellers__2[[#This Row],[rating]]&gt;=3.5, "Average", TRUE, "Poor ")</f>
        <v xml:space="preserve">Good </v>
      </c>
      <c r="Q340" s="2" t="str" cm="1">
        <f t="array" ref="Q34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40" s="2" t="str">
        <f>IF(Computed_insight___Success_of_active_sellers__2[[#This Row],[totalurgencycount]]&gt;0, "Has Banner", "No Banner")</f>
        <v>No Banner</v>
      </c>
    </row>
    <row r="341" spans="1:18" x14ac:dyDescent="0.3">
      <c r="A341">
        <v>339</v>
      </c>
      <c r="B341" t="s">
        <v>484</v>
      </c>
      <c r="C341">
        <v>1</v>
      </c>
      <c r="D341">
        <v>5000</v>
      </c>
      <c r="E341">
        <v>5000</v>
      </c>
      <c r="F341">
        <v>4.2</v>
      </c>
      <c r="G341">
        <v>3532</v>
      </c>
      <c r="H341">
        <v>8</v>
      </c>
      <c r="I341">
        <v>122</v>
      </c>
      <c r="J341">
        <v>94</v>
      </c>
      <c r="K341">
        <v>94</v>
      </c>
      <c r="L341">
        <v>1355</v>
      </c>
      <c r="O341" s="2" t="str" cm="1">
        <f t="array" ref="O34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41" s="2" t="str" cm="1">
        <f t="array" ref="P341">_xlfn.IFS(Computed_insight___Success_of_active_sellers__2[[#This Row],[rating]]&gt;=4.5, "Excellent ", Computed_insight___Success_of_active_sellers__2[[#This Row],[rating]]&gt;=4, "Good ", Computed_insight___Success_of_active_sellers__2[[#This Row],[rating]]&gt;=3.5, "Average", TRUE, "Poor ")</f>
        <v xml:space="preserve">Good </v>
      </c>
      <c r="Q341" s="2" t="str" cm="1">
        <f t="array" ref="Q34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41" s="2" t="str">
        <f>IF(Computed_insight___Success_of_active_sellers__2[[#This Row],[totalurgencycount]]&gt;0, "Has Banner", "No Banner")</f>
        <v>No Banner</v>
      </c>
    </row>
    <row r="342" spans="1:18" x14ac:dyDescent="0.3">
      <c r="A342">
        <v>340</v>
      </c>
      <c r="B342" t="s">
        <v>353</v>
      </c>
      <c r="C342">
        <v>1</v>
      </c>
      <c r="D342">
        <v>5000</v>
      </c>
      <c r="E342">
        <v>5000</v>
      </c>
      <c r="F342">
        <v>4.2160000000000002</v>
      </c>
      <c r="G342">
        <v>41906</v>
      </c>
      <c r="H342">
        <v>8</v>
      </c>
      <c r="I342">
        <v>27</v>
      </c>
      <c r="J342">
        <v>71</v>
      </c>
      <c r="K342">
        <v>71</v>
      </c>
      <c r="L342">
        <v>921</v>
      </c>
      <c r="O342" s="2" t="str" cm="1">
        <f t="array" ref="O34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42" s="2" t="str" cm="1">
        <f t="array" ref="P342">_xlfn.IFS(Computed_insight___Success_of_active_sellers__2[[#This Row],[rating]]&gt;=4.5, "Excellent ", Computed_insight___Success_of_active_sellers__2[[#This Row],[rating]]&gt;=4, "Good ", Computed_insight___Success_of_active_sellers__2[[#This Row],[rating]]&gt;=3.5, "Average", TRUE, "Poor ")</f>
        <v xml:space="preserve">Good </v>
      </c>
      <c r="Q342" s="2" t="str" cm="1">
        <f t="array" ref="Q34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42" s="2" t="str">
        <f>IF(Computed_insight___Success_of_active_sellers__2[[#This Row],[totalurgencycount]]&gt;0, "Has Banner", "No Banner")</f>
        <v>No Banner</v>
      </c>
    </row>
    <row r="343" spans="1:18" x14ac:dyDescent="0.3">
      <c r="A343">
        <v>341</v>
      </c>
      <c r="B343" t="s">
        <v>409</v>
      </c>
      <c r="C343">
        <v>1</v>
      </c>
      <c r="D343">
        <v>5000</v>
      </c>
      <c r="E343">
        <v>5000</v>
      </c>
      <c r="F343">
        <v>4.226</v>
      </c>
      <c r="G343">
        <v>13075</v>
      </c>
      <c r="H343">
        <v>14</v>
      </c>
      <c r="I343">
        <v>68</v>
      </c>
      <c r="J343">
        <v>80</v>
      </c>
      <c r="K343">
        <v>80</v>
      </c>
      <c r="L343">
        <v>734</v>
      </c>
      <c r="O343" s="2" t="str" cm="1">
        <f t="array" ref="O34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43" s="2" t="str" cm="1">
        <f t="array" ref="P343">_xlfn.IFS(Computed_insight___Success_of_active_sellers__2[[#This Row],[rating]]&gt;=4.5, "Excellent ", Computed_insight___Success_of_active_sellers__2[[#This Row],[rating]]&gt;=4, "Good ", Computed_insight___Success_of_active_sellers__2[[#This Row],[rating]]&gt;=3.5, "Average", TRUE, "Poor ")</f>
        <v xml:space="preserve">Good </v>
      </c>
      <c r="Q343" s="2" t="str" cm="1">
        <f t="array" ref="Q34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43" s="2" t="str">
        <f>IF(Computed_insight___Success_of_active_sellers__2[[#This Row],[totalurgencycount]]&gt;0, "Has Banner", "No Banner")</f>
        <v>No Banner</v>
      </c>
    </row>
    <row r="344" spans="1:18" x14ac:dyDescent="0.3">
      <c r="A344">
        <v>342</v>
      </c>
      <c r="B344" t="s">
        <v>414</v>
      </c>
      <c r="C344">
        <v>1</v>
      </c>
      <c r="D344">
        <v>5000</v>
      </c>
      <c r="E344">
        <v>5000</v>
      </c>
      <c r="F344">
        <v>4.2279999999999998</v>
      </c>
      <c r="G344">
        <v>2114</v>
      </c>
      <c r="H344">
        <v>5.69</v>
      </c>
      <c r="I344">
        <v>5</v>
      </c>
      <c r="J344">
        <v>-13</v>
      </c>
      <c r="K344">
        <v>-13</v>
      </c>
      <c r="L344">
        <v>437</v>
      </c>
      <c r="O344" s="2" t="str" cm="1">
        <f t="array" ref="O34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44" s="2" t="str" cm="1">
        <f t="array" ref="P344">_xlfn.IFS(Computed_insight___Success_of_active_sellers__2[[#This Row],[rating]]&gt;=4.5, "Excellent ", Computed_insight___Success_of_active_sellers__2[[#This Row],[rating]]&gt;=4, "Good ", Computed_insight___Success_of_active_sellers__2[[#This Row],[rating]]&gt;=3.5, "Average", TRUE, "Poor ")</f>
        <v xml:space="preserve">Good </v>
      </c>
      <c r="Q344" s="2" t="str" cm="1">
        <f t="array" ref="Q34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44" s="2" t="str">
        <f>IF(Computed_insight___Success_of_active_sellers__2[[#This Row],[totalurgencycount]]&gt;0, "Has Banner", "No Banner")</f>
        <v>No Banner</v>
      </c>
    </row>
    <row r="345" spans="1:18" x14ac:dyDescent="0.3">
      <c r="A345">
        <v>343</v>
      </c>
      <c r="B345" t="s">
        <v>846</v>
      </c>
      <c r="C345">
        <v>1</v>
      </c>
      <c r="D345">
        <v>5000</v>
      </c>
      <c r="E345">
        <v>5000</v>
      </c>
      <c r="F345">
        <v>4.2300000000000004</v>
      </c>
      <c r="G345">
        <v>8740</v>
      </c>
      <c r="H345">
        <v>5</v>
      </c>
      <c r="I345">
        <v>5</v>
      </c>
      <c r="J345">
        <v>0</v>
      </c>
      <c r="K345">
        <v>0</v>
      </c>
      <c r="L345">
        <v>667</v>
      </c>
      <c r="O345" s="2" t="str" cm="1">
        <f t="array" ref="O34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45" s="2" t="str" cm="1">
        <f t="array" ref="P345">_xlfn.IFS(Computed_insight___Success_of_active_sellers__2[[#This Row],[rating]]&gt;=4.5, "Excellent ", Computed_insight___Success_of_active_sellers__2[[#This Row],[rating]]&gt;=4, "Good ", Computed_insight___Success_of_active_sellers__2[[#This Row],[rating]]&gt;=3.5, "Average", TRUE, "Poor ")</f>
        <v xml:space="preserve">Good </v>
      </c>
      <c r="Q345" s="2" t="str" cm="1">
        <f t="array" ref="Q34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45" s="2" t="str">
        <f>IF(Computed_insight___Success_of_active_sellers__2[[#This Row],[totalurgencycount]]&gt;0, "Has Banner", "No Banner")</f>
        <v>No Banner</v>
      </c>
    </row>
    <row r="346" spans="1:18" x14ac:dyDescent="0.3">
      <c r="A346">
        <v>344</v>
      </c>
      <c r="B346" t="s">
        <v>887</v>
      </c>
      <c r="C346">
        <v>1</v>
      </c>
      <c r="D346">
        <v>5000</v>
      </c>
      <c r="E346">
        <v>5000</v>
      </c>
      <c r="F346">
        <v>4.2309999999999999</v>
      </c>
      <c r="G346">
        <v>228676</v>
      </c>
      <c r="H346">
        <v>16</v>
      </c>
      <c r="I346">
        <v>34</v>
      </c>
      <c r="J346">
        <v>53</v>
      </c>
      <c r="K346">
        <v>53</v>
      </c>
      <c r="L346">
        <v>1612</v>
      </c>
      <c r="M346">
        <v>1</v>
      </c>
      <c r="N346">
        <v>100</v>
      </c>
      <c r="O346" s="2" t="str" cm="1">
        <f t="array" ref="O34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46" s="2" t="str" cm="1">
        <f t="array" ref="P346">_xlfn.IFS(Computed_insight___Success_of_active_sellers__2[[#This Row],[rating]]&gt;=4.5, "Excellent ", Computed_insight___Success_of_active_sellers__2[[#This Row],[rating]]&gt;=4, "Good ", Computed_insight___Success_of_active_sellers__2[[#This Row],[rating]]&gt;=3.5, "Average", TRUE, "Poor ")</f>
        <v xml:space="preserve">Good </v>
      </c>
      <c r="Q346" s="2" t="str" cm="1">
        <f t="array" ref="Q34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46" s="2" t="str">
        <f>IF(Computed_insight___Success_of_active_sellers__2[[#This Row],[totalurgencycount]]&gt;0, "Has Banner", "No Banner")</f>
        <v>Has Banner</v>
      </c>
    </row>
    <row r="347" spans="1:18" x14ac:dyDescent="0.3">
      <c r="A347">
        <v>345</v>
      </c>
      <c r="B347" t="s">
        <v>289</v>
      </c>
      <c r="C347">
        <v>1</v>
      </c>
      <c r="D347">
        <v>5000</v>
      </c>
      <c r="E347">
        <v>5000</v>
      </c>
      <c r="F347">
        <v>4.2320000000000002</v>
      </c>
      <c r="G347">
        <v>5985</v>
      </c>
      <c r="H347">
        <v>14</v>
      </c>
      <c r="I347">
        <v>89</v>
      </c>
      <c r="J347">
        <v>85</v>
      </c>
      <c r="K347">
        <v>85</v>
      </c>
      <c r="L347">
        <v>647</v>
      </c>
      <c r="O347" s="2" t="str" cm="1">
        <f t="array" ref="O34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47" s="2" t="str" cm="1">
        <f t="array" ref="P347">_xlfn.IFS(Computed_insight___Success_of_active_sellers__2[[#This Row],[rating]]&gt;=4.5, "Excellent ", Computed_insight___Success_of_active_sellers__2[[#This Row],[rating]]&gt;=4, "Good ", Computed_insight___Success_of_active_sellers__2[[#This Row],[rating]]&gt;=3.5, "Average", TRUE, "Poor ")</f>
        <v xml:space="preserve">Good </v>
      </c>
      <c r="Q347" s="2" t="str" cm="1">
        <f t="array" ref="Q34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47" s="2" t="str">
        <f>IF(Computed_insight___Success_of_active_sellers__2[[#This Row],[totalurgencycount]]&gt;0, "Has Banner", "No Banner")</f>
        <v>No Banner</v>
      </c>
    </row>
    <row r="348" spans="1:18" x14ac:dyDescent="0.3">
      <c r="A348">
        <v>346</v>
      </c>
      <c r="B348" t="s">
        <v>837</v>
      </c>
      <c r="C348">
        <v>1</v>
      </c>
      <c r="D348">
        <v>5000</v>
      </c>
      <c r="E348">
        <v>5000</v>
      </c>
      <c r="F348">
        <v>4.2370000000000001</v>
      </c>
      <c r="G348">
        <v>24306</v>
      </c>
      <c r="H348">
        <v>13</v>
      </c>
      <c r="I348">
        <v>68</v>
      </c>
      <c r="J348">
        <v>81</v>
      </c>
      <c r="K348">
        <v>81</v>
      </c>
      <c r="L348">
        <v>1095</v>
      </c>
      <c r="M348">
        <v>1</v>
      </c>
      <c r="N348">
        <v>100</v>
      </c>
      <c r="O348" s="2" t="str" cm="1">
        <f t="array" ref="O34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48" s="2" t="str" cm="1">
        <f t="array" ref="P348">_xlfn.IFS(Computed_insight___Success_of_active_sellers__2[[#This Row],[rating]]&gt;=4.5, "Excellent ", Computed_insight___Success_of_active_sellers__2[[#This Row],[rating]]&gt;=4, "Good ", Computed_insight___Success_of_active_sellers__2[[#This Row],[rating]]&gt;=3.5, "Average", TRUE, "Poor ")</f>
        <v xml:space="preserve">Good </v>
      </c>
      <c r="Q348" s="2" t="str" cm="1">
        <f t="array" ref="Q34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48" s="2" t="str">
        <f>IF(Computed_insight___Success_of_active_sellers__2[[#This Row],[totalurgencycount]]&gt;0, "Has Banner", "No Banner")</f>
        <v>Has Banner</v>
      </c>
    </row>
    <row r="349" spans="1:18" x14ac:dyDescent="0.3">
      <c r="A349">
        <v>347</v>
      </c>
      <c r="B349" t="s">
        <v>730</v>
      </c>
      <c r="C349">
        <v>1</v>
      </c>
      <c r="D349">
        <v>5000</v>
      </c>
      <c r="E349">
        <v>5000</v>
      </c>
      <c r="F349">
        <v>4.25</v>
      </c>
      <c r="G349">
        <v>4809</v>
      </c>
      <c r="H349">
        <v>7</v>
      </c>
      <c r="I349">
        <v>22</v>
      </c>
      <c r="J349">
        <v>69</v>
      </c>
      <c r="K349">
        <v>69</v>
      </c>
      <c r="L349">
        <v>797</v>
      </c>
      <c r="O349" s="2" t="str" cm="1">
        <f t="array" ref="O34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49" s="2" t="str" cm="1">
        <f t="array" ref="P349">_xlfn.IFS(Computed_insight___Success_of_active_sellers__2[[#This Row],[rating]]&gt;=4.5, "Excellent ", Computed_insight___Success_of_active_sellers__2[[#This Row],[rating]]&gt;=4, "Good ", Computed_insight___Success_of_active_sellers__2[[#This Row],[rating]]&gt;=3.5, "Average", TRUE, "Poor ")</f>
        <v xml:space="preserve">Good </v>
      </c>
      <c r="Q349" s="2" t="str" cm="1">
        <f t="array" ref="Q34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49" s="2" t="str">
        <f>IF(Computed_insight___Success_of_active_sellers__2[[#This Row],[totalurgencycount]]&gt;0, "Has Banner", "No Banner")</f>
        <v>No Banner</v>
      </c>
    </row>
    <row r="350" spans="1:18" x14ac:dyDescent="0.3">
      <c r="A350">
        <v>348</v>
      </c>
      <c r="B350" t="s">
        <v>787</v>
      </c>
      <c r="C350">
        <v>1</v>
      </c>
      <c r="D350">
        <v>5000</v>
      </c>
      <c r="E350">
        <v>5000</v>
      </c>
      <c r="F350">
        <v>4.2510000000000003</v>
      </c>
      <c r="G350">
        <v>2380</v>
      </c>
      <c r="H350">
        <v>8</v>
      </c>
      <c r="I350">
        <v>7</v>
      </c>
      <c r="J350">
        <v>-14</v>
      </c>
      <c r="K350">
        <v>-14</v>
      </c>
      <c r="L350">
        <v>870</v>
      </c>
      <c r="O350" s="2" t="str" cm="1">
        <f t="array" ref="O35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50" s="2" t="str" cm="1">
        <f t="array" ref="P350">_xlfn.IFS(Computed_insight___Success_of_active_sellers__2[[#This Row],[rating]]&gt;=4.5, "Excellent ", Computed_insight___Success_of_active_sellers__2[[#This Row],[rating]]&gt;=4, "Good ", Computed_insight___Success_of_active_sellers__2[[#This Row],[rating]]&gt;=3.5, "Average", TRUE, "Poor ")</f>
        <v xml:space="preserve">Good </v>
      </c>
      <c r="Q350" s="2" t="str" cm="1">
        <f t="array" ref="Q35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50" s="2" t="str">
        <f>IF(Computed_insight___Success_of_active_sellers__2[[#This Row],[totalurgencycount]]&gt;0, "Has Banner", "No Banner")</f>
        <v>No Banner</v>
      </c>
    </row>
    <row r="351" spans="1:18" x14ac:dyDescent="0.3">
      <c r="A351">
        <v>349</v>
      </c>
      <c r="B351" t="s">
        <v>169</v>
      </c>
      <c r="C351">
        <v>1</v>
      </c>
      <c r="D351">
        <v>5000</v>
      </c>
      <c r="E351">
        <v>5000</v>
      </c>
      <c r="F351">
        <v>4.2519999999999998</v>
      </c>
      <c r="G351">
        <v>92654</v>
      </c>
      <c r="H351">
        <v>5.65</v>
      </c>
      <c r="I351">
        <v>5</v>
      </c>
      <c r="J351">
        <v>-13</v>
      </c>
      <c r="K351">
        <v>-13</v>
      </c>
      <c r="L351">
        <v>998</v>
      </c>
      <c r="O351" s="2" t="str" cm="1">
        <f t="array" ref="O35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51" s="2" t="str" cm="1">
        <f t="array" ref="P351">_xlfn.IFS(Computed_insight___Success_of_active_sellers__2[[#This Row],[rating]]&gt;=4.5, "Excellent ", Computed_insight___Success_of_active_sellers__2[[#This Row],[rating]]&gt;=4, "Good ", Computed_insight___Success_of_active_sellers__2[[#This Row],[rating]]&gt;=3.5, "Average", TRUE, "Poor ")</f>
        <v xml:space="preserve">Good </v>
      </c>
      <c r="Q351" s="2" t="str" cm="1">
        <f t="array" ref="Q35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51" s="2" t="str">
        <f>IF(Computed_insight___Success_of_active_sellers__2[[#This Row],[totalurgencycount]]&gt;0, "Has Banner", "No Banner")</f>
        <v>No Banner</v>
      </c>
    </row>
    <row r="352" spans="1:18" x14ac:dyDescent="0.3">
      <c r="A352">
        <v>350</v>
      </c>
      <c r="B352" t="s">
        <v>102</v>
      </c>
      <c r="C352">
        <v>1</v>
      </c>
      <c r="D352">
        <v>5000</v>
      </c>
      <c r="E352">
        <v>5000</v>
      </c>
      <c r="F352">
        <v>4.2530000000000001</v>
      </c>
      <c r="G352">
        <v>4610</v>
      </c>
      <c r="H352">
        <v>11</v>
      </c>
      <c r="I352">
        <v>10</v>
      </c>
      <c r="J352">
        <v>-10</v>
      </c>
      <c r="K352">
        <v>-10</v>
      </c>
      <c r="L352">
        <v>1556</v>
      </c>
      <c r="O352" s="2" t="str" cm="1">
        <f t="array" ref="O35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52" s="2" t="str" cm="1">
        <f t="array" ref="P352">_xlfn.IFS(Computed_insight___Success_of_active_sellers__2[[#This Row],[rating]]&gt;=4.5, "Excellent ", Computed_insight___Success_of_active_sellers__2[[#This Row],[rating]]&gt;=4, "Good ", Computed_insight___Success_of_active_sellers__2[[#This Row],[rating]]&gt;=3.5, "Average", TRUE, "Poor ")</f>
        <v xml:space="preserve">Good </v>
      </c>
      <c r="Q352" s="2" t="str" cm="1">
        <f t="array" ref="Q35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52" s="2" t="str">
        <f>IF(Computed_insight___Success_of_active_sellers__2[[#This Row],[totalurgencycount]]&gt;0, "Has Banner", "No Banner")</f>
        <v>No Banner</v>
      </c>
    </row>
    <row r="353" spans="1:18" x14ac:dyDescent="0.3">
      <c r="A353">
        <v>351</v>
      </c>
      <c r="B353" t="s">
        <v>22</v>
      </c>
      <c r="C353">
        <v>1</v>
      </c>
      <c r="D353">
        <v>5000</v>
      </c>
      <c r="E353">
        <v>5000</v>
      </c>
      <c r="F353">
        <v>4.2569999999999997</v>
      </c>
      <c r="G353">
        <v>23609</v>
      </c>
      <c r="H353">
        <v>11</v>
      </c>
      <c r="I353">
        <v>10</v>
      </c>
      <c r="J353">
        <v>-10</v>
      </c>
      <c r="K353">
        <v>-10</v>
      </c>
      <c r="L353">
        <v>1183</v>
      </c>
      <c r="O353" s="2" t="str" cm="1">
        <f t="array" ref="O35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53" s="2" t="str" cm="1">
        <f t="array" ref="P353">_xlfn.IFS(Computed_insight___Success_of_active_sellers__2[[#This Row],[rating]]&gt;=4.5, "Excellent ", Computed_insight___Success_of_active_sellers__2[[#This Row],[rating]]&gt;=4, "Good ", Computed_insight___Success_of_active_sellers__2[[#This Row],[rating]]&gt;=3.5, "Average", TRUE, "Poor ")</f>
        <v xml:space="preserve">Good </v>
      </c>
      <c r="Q353" s="2" t="str" cm="1">
        <f t="array" ref="Q35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53" s="2" t="str">
        <f>IF(Computed_insight___Success_of_active_sellers__2[[#This Row],[totalurgencycount]]&gt;0, "Has Banner", "No Banner")</f>
        <v>No Banner</v>
      </c>
    </row>
    <row r="354" spans="1:18" x14ac:dyDescent="0.3">
      <c r="A354">
        <v>352</v>
      </c>
      <c r="B354" t="s">
        <v>789</v>
      </c>
      <c r="C354">
        <v>1</v>
      </c>
      <c r="D354">
        <v>5000</v>
      </c>
      <c r="E354">
        <v>5000</v>
      </c>
      <c r="F354">
        <v>4.2610000000000001</v>
      </c>
      <c r="G354">
        <v>32386</v>
      </c>
      <c r="H354">
        <v>14</v>
      </c>
      <c r="I354">
        <v>84</v>
      </c>
      <c r="J354">
        <v>84</v>
      </c>
      <c r="K354">
        <v>84</v>
      </c>
      <c r="L354">
        <v>686</v>
      </c>
      <c r="O354" s="2" t="str" cm="1">
        <f t="array" ref="O35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54" s="2" t="str" cm="1">
        <f t="array" ref="P354">_xlfn.IFS(Computed_insight___Success_of_active_sellers__2[[#This Row],[rating]]&gt;=4.5, "Excellent ", Computed_insight___Success_of_active_sellers__2[[#This Row],[rating]]&gt;=4, "Good ", Computed_insight___Success_of_active_sellers__2[[#This Row],[rating]]&gt;=3.5, "Average", TRUE, "Poor ")</f>
        <v xml:space="preserve">Good </v>
      </c>
      <c r="Q354" s="2" t="str" cm="1">
        <f t="array" ref="Q35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54" s="2" t="str">
        <f>IF(Computed_insight___Success_of_active_sellers__2[[#This Row],[totalurgencycount]]&gt;0, "Has Banner", "No Banner")</f>
        <v>No Banner</v>
      </c>
    </row>
    <row r="355" spans="1:18" x14ac:dyDescent="0.3">
      <c r="A355">
        <v>353</v>
      </c>
      <c r="B355" t="s">
        <v>722</v>
      </c>
      <c r="C355">
        <v>1</v>
      </c>
      <c r="D355">
        <v>5000</v>
      </c>
      <c r="E355">
        <v>5000</v>
      </c>
      <c r="F355">
        <v>4.2670000000000003</v>
      </c>
      <c r="G355">
        <v>12083</v>
      </c>
      <c r="H355">
        <v>16</v>
      </c>
      <c r="I355">
        <v>56</v>
      </c>
      <c r="J355">
        <v>72</v>
      </c>
      <c r="K355">
        <v>72</v>
      </c>
      <c r="L355">
        <v>781</v>
      </c>
      <c r="M355">
        <v>1</v>
      </c>
      <c r="N355">
        <v>100</v>
      </c>
      <c r="O355" s="2" t="str" cm="1">
        <f t="array" ref="O35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55" s="2" t="str" cm="1">
        <f t="array" ref="P355">_xlfn.IFS(Computed_insight___Success_of_active_sellers__2[[#This Row],[rating]]&gt;=4.5, "Excellent ", Computed_insight___Success_of_active_sellers__2[[#This Row],[rating]]&gt;=4, "Good ", Computed_insight___Success_of_active_sellers__2[[#This Row],[rating]]&gt;=3.5, "Average", TRUE, "Poor ")</f>
        <v xml:space="preserve">Good </v>
      </c>
      <c r="Q355" s="2" t="str" cm="1">
        <f t="array" ref="Q35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55" s="2" t="str">
        <f>IF(Computed_insight___Success_of_active_sellers__2[[#This Row],[totalurgencycount]]&gt;0, "Has Banner", "No Banner")</f>
        <v>Has Banner</v>
      </c>
    </row>
    <row r="356" spans="1:18" x14ac:dyDescent="0.3">
      <c r="A356">
        <v>354</v>
      </c>
      <c r="B356" t="s">
        <v>176</v>
      </c>
      <c r="C356">
        <v>1</v>
      </c>
      <c r="D356">
        <v>5000</v>
      </c>
      <c r="E356">
        <v>5000</v>
      </c>
      <c r="F356">
        <v>4.2789999999999999</v>
      </c>
      <c r="G356">
        <v>3209</v>
      </c>
      <c r="H356">
        <v>8</v>
      </c>
      <c r="I356">
        <v>7</v>
      </c>
      <c r="J356">
        <v>-14</v>
      </c>
      <c r="K356">
        <v>-14</v>
      </c>
      <c r="L356">
        <v>894</v>
      </c>
      <c r="O356" s="2" t="str" cm="1">
        <f t="array" ref="O35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56" s="2" t="str" cm="1">
        <f t="array" ref="P356">_xlfn.IFS(Computed_insight___Success_of_active_sellers__2[[#This Row],[rating]]&gt;=4.5, "Excellent ", Computed_insight___Success_of_active_sellers__2[[#This Row],[rating]]&gt;=4, "Good ", Computed_insight___Success_of_active_sellers__2[[#This Row],[rating]]&gt;=3.5, "Average", TRUE, "Poor ")</f>
        <v xml:space="preserve">Good </v>
      </c>
      <c r="Q356" s="2" t="str" cm="1">
        <f t="array" ref="Q35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56" s="2" t="str">
        <f>IF(Computed_insight___Success_of_active_sellers__2[[#This Row],[totalurgencycount]]&gt;0, "Has Banner", "No Banner")</f>
        <v>No Banner</v>
      </c>
    </row>
    <row r="357" spans="1:18" x14ac:dyDescent="0.3">
      <c r="A357">
        <v>355</v>
      </c>
      <c r="B357" t="s">
        <v>799</v>
      </c>
      <c r="C357">
        <v>1</v>
      </c>
      <c r="D357">
        <v>5000</v>
      </c>
      <c r="E357">
        <v>5000</v>
      </c>
      <c r="F357">
        <v>4.2969999999999997</v>
      </c>
      <c r="G357">
        <v>13510</v>
      </c>
      <c r="H357">
        <v>5</v>
      </c>
      <c r="I357">
        <v>5</v>
      </c>
      <c r="J357">
        <v>0</v>
      </c>
      <c r="K357">
        <v>0</v>
      </c>
      <c r="L357">
        <v>1013</v>
      </c>
      <c r="M357">
        <v>1</v>
      </c>
      <c r="N357">
        <v>100</v>
      </c>
      <c r="O357" s="2" t="str" cm="1">
        <f t="array" ref="O35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57" s="2" t="str" cm="1">
        <f t="array" ref="P357">_xlfn.IFS(Computed_insight___Success_of_active_sellers__2[[#This Row],[rating]]&gt;=4.5, "Excellent ", Computed_insight___Success_of_active_sellers__2[[#This Row],[rating]]&gt;=4, "Good ", Computed_insight___Success_of_active_sellers__2[[#This Row],[rating]]&gt;=3.5, "Average", TRUE, "Poor ")</f>
        <v xml:space="preserve">Good </v>
      </c>
      <c r="Q357" s="2" t="str" cm="1">
        <f t="array" ref="Q35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57" s="2" t="str">
        <f>IF(Computed_insight___Success_of_active_sellers__2[[#This Row],[totalurgencycount]]&gt;0, "Has Banner", "No Banner")</f>
        <v>Has Banner</v>
      </c>
    </row>
    <row r="358" spans="1:18" x14ac:dyDescent="0.3">
      <c r="A358">
        <v>356</v>
      </c>
      <c r="B358" t="s">
        <v>704</v>
      </c>
      <c r="C358">
        <v>1</v>
      </c>
      <c r="D358">
        <v>5000</v>
      </c>
      <c r="E358">
        <v>5000</v>
      </c>
      <c r="F358">
        <v>4.2990000000000004</v>
      </c>
      <c r="G358">
        <v>68339</v>
      </c>
      <c r="H358">
        <v>8</v>
      </c>
      <c r="I358">
        <v>7</v>
      </c>
      <c r="J358">
        <v>-14</v>
      </c>
      <c r="K358">
        <v>-14</v>
      </c>
      <c r="L358">
        <v>2737</v>
      </c>
      <c r="M358">
        <v>1</v>
      </c>
      <c r="N358">
        <v>100</v>
      </c>
      <c r="O358" s="2" t="str" cm="1">
        <f t="array" ref="O35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58" s="2" t="str" cm="1">
        <f t="array" ref="P358">_xlfn.IFS(Computed_insight___Success_of_active_sellers__2[[#This Row],[rating]]&gt;=4.5, "Excellent ", Computed_insight___Success_of_active_sellers__2[[#This Row],[rating]]&gt;=4, "Good ", Computed_insight___Success_of_active_sellers__2[[#This Row],[rating]]&gt;=3.5, "Average", TRUE, "Poor ")</f>
        <v xml:space="preserve">Good </v>
      </c>
      <c r="Q358" s="2" t="str" cm="1">
        <f t="array" ref="Q35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58" s="2" t="str">
        <f>IF(Computed_insight___Success_of_active_sellers__2[[#This Row],[totalurgencycount]]&gt;0, "Has Banner", "No Banner")</f>
        <v>Has Banner</v>
      </c>
    </row>
    <row r="359" spans="1:18" x14ac:dyDescent="0.3">
      <c r="A359">
        <v>357</v>
      </c>
      <c r="B359" t="s">
        <v>917</v>
      </c>
      <c r="C359">
        <v>1</v>
      </c>
      <c r="D359">
        <v>5000</v>
      </c>
      <c r="E359">
        <v>5000</v>
      </c>
      <c r="F359">
        <v>4.3040000000000003</v>
      </c>
      <c r="G359">
        <v>4191</v>
      </c>
      <c r="H359">
        <v>3</v>
      </c>
      <c r="I359">
        <v>17</v>
      </c>
      <c r="J359">
        <v>83</v>
      </c>
      <c r="K359">
        <v>83</v>
      </c>
      <c r="L359">
        <v>788</v>
      </c>
      <c r="O359" s="2" t="str" cm="1">
        <f t="array" ref="O35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59" s="2" t="str" cm="1">
        <f t="array" ref="P359">_xlfn.IFS(Computed_insight___Success_of_active_sellers__2[[#This Row],[rating]]&gt;=4.5, "Excellent ", Computed_insight___Success_of_active_sellers__2[[#This Row],[rating]]&gt;=4, "Good ", Computed_insight___Success_of_active_sellers__2[[#This Row],[rating]]&gt;=3.5, "Average", TRUE, "Poor ")</f>
        <v xml:space="preserve">Good </v>
      </c>
      <c r="Q359" s="2" t="str" cm="1">
        <f t="array" ref="Q35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59" s="2" t="str">
        <f>IF(Computed_insight___Success_of_active_sellers__2[[#This Row],[totalurgencycount]]&gt;0, "Has Banner", "No Banner")</f>
        <v>No Banner</v>
      </c>
    </row>
    <row r="360" spans="1:18" x14ac:dyDescent="0.3">
      <c r="A360">
        <v>358</v>
      </c>
      <c r="B360" t="s">
        <v>35</v>
      </c>
      <c r="C360">
        <v>1</v>
      </c>
      <c r="D360">
        <v>5000</v>
      </c>
      <c r="E360">
        <v>5000</v>
      </c>
      <c r="F360">
        <v>4.306</v>
      </c>
      <c r="G360">
        <v>223392</v>
      </c>
      <c r="H360">
        <v>2.66</v>
      </c>
      <c r="I360">
        <v>3</v>
      </c>
      <c r="J360">
        <v>12</v>
      </c>
      <c r="K360">
        <v>12</v>
      </c>
      <c r="L360">
        <v>1136</v>
      </c>
      <c r="O360" s="2" t="str" cm="1">
        <f t="array" ref="O36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60" s="2" t="str" cm="1">
        <f t="array" ref="P360">_xlfn.IFS(Computed_insight___Success_of_active_sellers__2[[#This Row],[rating]]&gt;=4.5, "Excellent ", Computed_insight___Success_of_active_sellers__2[[#This Row],[rating]]&gt;=4, "Good ", Computed_insight___Success_of_active_sellers__2[[#This Row],[rating]]&gt;=3.5, "Average", TRUE, "Poor ")</f>
        <v xml:space="preserve">Good </v>
      </c>
      <c r="Q360" s="2" t="str" cm="1">
        <f t="array" ref="Q360">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360" s="2" t="str">
        <f>IF(Computed_insight___Success_of_active_sellers__2[[#This Row],[totalurgencycount]]&gt;0, "Has Banner", "No Banner")</f>
        <v>No Banner</v>
      </c>
    </row>
    <row r="361" spans="1:18" x14ac:dyDescent="0.3">
      <c r="A361">
        <v>359</v>
      </c>
      <c r="B361" t="s">
        <v>498</v>
      </c>
      <c r="C361">
        <v>1</v>
      </c>
      <c r="D361">
        <v>5000</v>
      </c>
      <c r="E361">
        <v>5000</v>
      </c>
      <c r="F361">
        <v>4.3159999999999998</v>
      </c>
      <c r="G361">
        <v>92005</v>
      </c>
      <c r="H361">
        <v>8</v>
      </c>
      <c r="I361">
        <v>7</v>
      </c>
      <c r="J361">
        <v>-14</v>
      </c>
      <c r="K361">
        <v>-14</v>
      </c>
      <c r="L361">
        <v>1512</v>
      </c>
      <c r="O361" s="2" t="str" cm="1">
        <f t="array" ref="O36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61" s="2" t="str" cm="1">
        <f t="array" ref="P361">_xlfn.IFS(Computed_insight___Success_of_active_sellers__2[[#This Row],[rating]]&gt;=4.5, "Excellent ", Computed_insight___Success_of_active_sellers__2[[#This Row],[rating]]&gt;=4, "Good ", Computed_insight___Success_of_active_sellers__2[[#This Row],[rating]]&gt;=3.5, "Average", TRUE, "Poor ")</f>
        <v xml:space="preserve">Good </v>
      </c>
      <c r="Q361" s="2" t="str" cm="1">
        <f t="array" ref="Q36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61" s="2" t="str">
        <f>IF(Computed_insight___Success_of_active_sellers__2[[#This Row],[totalurgencycount]]&gt;0, "Has Banner", "No Banner")</f>
        <v>No Banner</v>
      </c>
    </row>
    <row r="362" spans="1:18" x14ac:dyDescent="0.3">
      <c r="A362">
        <v>360</v>
      </c>
      <c r="B362" t="s">
        <v>331</v>
      </c>
      <c r="C362">
        <v>1</v>
      </c>
      <c r="D362">
        <v>5000</v>
      </c>
      <c r="E362">
        <v>5000</v>
      </c>
      <c r="F362">
        <v>4.3970000000000002</v>
      </c>
      <c r="G362">
        <v>1963</v>
      </c>
      <c r="H362">
        <v>8</v>
      </c>
      <c r="I362">
        <v>17</v>
      </c>
      <c r="J362">
        <v>53</v>
      </c>
      <c r="K362">
        <v>53</v>
      </c>
      <c r="L362">
        <v>907</v>
      </c>
      <c r="O362" s="2" t="str" cm="1">
        <f t="array" ref="O36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62" s="2" t="str" cm="1">
        <f t="array" ref="P362">_xlfn.IFS(Computed_insight___Success_of_active_sellers__2[[#This Row],[rating]]&gt;=4.5, "Excellent ", Computed_insight___Success_of_active_sellers__2[[#This Row],[rating]]&gt;=4, "Good ", Computed_insight___Success_of_active_sellers__2[[#This Row],[rating]]&gt;=3.5, "Average", TRUE, "Poor ")</f>
        <v xml:space="preserve">Good </v>
      </c>
      <c r="Q362" s="2" t="str" cm="1">
        <f t="array" ref="Q36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62" s="2" t="str">
        <f>IF(Computed_insight___Success_of_active_sellers__2[[#This Row],[totalurgencycount]]&gt;0, "Has Banner", "No Banner")</f>
        <v>No Banner</v>
      </c>
    </row>
    <row r="363" spans="1:18" x14ac:dyDescent="0.3">
      <c r="A363">
        <v>361</v>
      </c>
      <c r="B363" t="s">
        <v>898</v>
      </c>
      <c r="C363">
        <v>1</v>
      </c>
      <c r="D363">
        <v>5000</v>
      </c>
      <c r="E363">
        <v>5000</v>
      </c>
      <c r="F363">
        <v>4.3979999999999997</v>
      </c>
      <c r="G363">
        <v>12666</v>
      </c>
      <c r="H363">
        <v>4</v>
      </c>
      <c r="I363">
        <v>26</v>
      </c>
      <c r="J363">
        <v>85</v>
      </c>
      <c r="K363">
        <v>85</v>
      </c>
      <c r="L363">
        <v>825</v>
      </c>
      <c r="O363" s="2" t="str" cm="1">
        <f t="array" ref="O36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63" s="2" t="str" cm="1">
        <f t="array" ref="P363">_xlfn.IFS(Computed_insight___Success_of_active_sellers__2[[#This Row],[rating]]&gt;=4.5, "Excellent ", Computed_insight___Success_of_active_sellers__2[[#This Row],[rating]]&gt;=4, "Good ", Computed_insight___Success_of_active_sellers__2[[#This Row],[rating]]&gt;=3.5, "Average", TRUE, "Poor ")</f>
        <v xml:space="preserve">Good </v>
      </c>
      <c r="Q363" s="2" t="str" cm="1">
        <f t="array" ref="Q36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63" s="2" t="str">
        <f>IF(Computed_insight___Success_of_active_sellers__2[[#This Row],[totalurgencycount]]&gt;0, "Has Banner", "No Banner")</f>
        <v>No Banner</v>
      </c>
    </row>
    <row r="364" spans="1:18" x14ac:dyDescent="0.3">
      <c r="A364">
        <v>362</v>
      </c>
      <c r="B364" t="s">
        <v>889</v>
      </c>
      <c r="C364">
        <v>1</v>
      </c>
      <c r="D364">
        <v>5000</v>
      </c>
      <c r="E364">
        <v>5000</v>
      </c>
      <c r="F364">
        <v>4.4649999999999999</v>
      </c>
      <c r="G364">
        <v>47476</v>
      </c>
      <c r="H364">
        <v>11</v>
      </c>
      <c r="I364">
        <v>26</v>
      </c>
      <c r="J364">
        <v>58</v>
      </c>
      <c r="K364">
        <v>58</v>
      </c>
      <c r="L364">
        <v>1571</v>
      </c>
      <c r="O364" s="2" t="str" cm="1">
        <f t="array" ref="O36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64" s="2" t="str" cm="1">
        <f t="array" ref="P364">_xlfn.IFS(Computed_insight___Success_of_active_sellers__2[[#This Row],[rating]]&gt;=4.5, "Excellent ", Computed_insight___Success_of_active_sellers__2[[#This Row],[rating]]&gt;=4, "Good ", Computed_insight___Success_of_active_sellers__2[[#This Row],[rating]]&gt;=3.5, "Average", TRUE, "Poor ")</f>
        <v xml:space="preserve">Good </v>
      </c>
      <c r="Q364" s="2" t="str" cm="1">
        <f t="array" ref="Q36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64" s="2" t="str">
        <f>IF(Computed_insight___Success_of_active_sellers__2[[#This Row],[totalurgencycount]]&gt;0, "Has Banner", "No Banner")</f>
        <v>No Banner</v>
      </c>
    </row>
    <row r="365" spans="1:18" x14ac:dyDescent="0.3">
      <c r="A365">
        <v>363</v>
      </c>
      <c r="B365" t="s">
        <v>698</v>
      </c>
      <c r="C365">
        <v>1</v>
      </c>
      <c r="D365">
        <v>5000</v>
      </c>
      <c r="E365">
        <v>5000</v>
      </c>
      <c r="F365">
        <v>4.4710000000000001</v>
      </c>
      <c r="G365">
        <v>19184</v>
      </c>
      <c r="H365">
        <v>15</v>
      </c>
      <c r="I365">
        <v>13</v>
      </c>
      <c r="J365">
        <v>-15</v>
      </c>
      <c r="K365">
        <v>-15</v>
      </c>
      <c r="L365">
        <v>1257</v>
      </c>
      <c r="O365" s="2" t="str" cm="1">
        <f t="array" ref="O36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Gold </v>
      </c>
      <c r="P365" s="2" t="str" cm="1">
        <f t="array" ref="P365">_xlfn.IFS(Computed_insight___Success_of_active_sellers__2[[#This Row],[rating]]&gt;=4.5, "Excellent ", Computed_insight___Success_of_active_sellers__2[[#This Row],[rating]]&gt;=4, "Good ", Computed_insight___Success_of_active_sellers__2[[#This Row],[rating]]&gt;=3.5, "Average", TRUE, "Poor ")</f>
        <v xml:space="preserve">Good </v>
      </c>
      <c r="Q365" s="2" t="str" cm="1">
        <f t="array" ref="Q36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65" s="2" t="str">
        <f>IF(Computed_insight___Success_of_active_sellers__2[[#This Row],[totalurgencycount]]&gt;0, "Has Banner", "No Banner")</f>
        <v>No Banner</v>
      </c>
    </row>
    <row r="366" spans="1:18" x14ac:dyDescent="0.3">
      <c r="A366">
        <v>364</v>
      </c>
      <c r="B366" t="s">
        <v>445</v>
      </c>
      <c r="C366">
        <v>4</v>
      </c>
      <c r="D366">
        <v>4000</v>
      </c>
      <c r="E366">
        <v>1000</v>
      </c>
      <c r="F366">
        <v>4.0570000000000004</v>
      </c>
      <c r="G366">
        <v>47356</v>
      </c>
      <c r="H366">
        <v>13</v>
      </c>
      <c r="I366">
        <v>11.25</v>
      </c>
      <c r="J366">
        <v>-15</v>
      </c>
      <c r="K366">
        <v>-15</v>
      </c>
      <c r="L366">
        <v>407</v>
      </c>
      <c r="M366">
        <v>2</v>
      </c>
      <c r="N366">
        <v>50</v>
      </c>
      <c r="O366" s="2" t="str" cm="1">
        <f t="array" ref="O36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66" s="2" t="str" cm="1">
        <f t="array" ref="P366">_xlfn.IFS(Computed_insight___Success_of_active_sellers__2[[#This Row],[rating]]&gt;=4.5, "Excellent ", Computed_insight___Success_of_active_sellers__2[[#This Row],[rating]]&gt;=4, "Good ", Computed_insight___Success_of_active_sellers__2[[#This Row],[rating]]&gt;=3.5, "Average", TRUE, "Poor ")</f>
        <v xml:space="preserve">Good </v>
      </c>
      <c r="Q366" s="2" t="str" cm="1">
        <f t="array" ref="Q36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66" s="2" t="str">
        <f>IF(Computed_insight___Success_of_active_sellers__2[[#This Row],[totalurgencycount]]&gt;0, "Has Banner", "No Banner")</f>
        <v>Has Banner</v>
      </c>
    </row>
    <row r="367" spans="1:18" x14ac:dyDescent="0.3">
      <c r="A367">
        <v>365</v>
      </c>
      <c r="B367" t="s">
        <v>328</v>
      </c>
      <c r="C367">
        <v>5</v>
      </c>
      <c r="D367">
        <v>3200</v>
      </c>
      <c r="E367">
        <v>640</v>
      </c>
      <c r="F367">
        <v>4.0330000000000004</v>
      </c>
      <c r="G367">
        <v>5264</v>
      </c>
      <c r="H367">
        <v>9.1999999999999993</v>
      </c>
      <c r="I367">
        <v>11</v>
      </c>
      <c r="J367">
        <v>17</v>
      </c>
      <c r="K367">
        <v>16.600000000000001</v>
      </c>
      <c r="L367">
        <v>261</v>
      </c>
      <c r="M367">
        <v>1</v>
      </c>
      <c r="N367">
        <v>20</v>
      </c>
      <c r="O367" s="2" t="str" cm="1">
        <f t="array" ref="O36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67" s="2" t="str" cm="1">
        <f t="array" ref="P367">_xlfn.IFS(Computed_insight___Success_of_active_sellers__2[[#This Row],[rating]]&gt;=4.5, "Excellent ", Computed_insight___Success_of_active_sellers__2[[#This Row],[rating]]&gt;=4, "Good ", Computed_insight___Success_of_active_sellers__2[[#This Row],[rating]]&gt;=3.5, "Average", TRUE, "Poor ")</f>
        <v xml:space="preserve">Good </v>
      </c>
      <c r="Q367" s="2" t="str" cm="1">
        <f t="array" ref="Q367">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367" s="2" t="str">
        <f>IF(Computed_insight___Success_of_active_sellers__2[[#This Row],[totalurgencycount]]&gt;0, "Has Banner", "No Banner")</f>
        <v>Has Banner</v>
      </c>
    </row>
    <row r="368" spans="1:18" x14ac:dyDescent="0.3">
      <c r="A368">
        <v>366</v>
      </c>
      <c r="B368" t="s">
        <v>243</v>
      </c>
      <c r="C368">
        <v>4</v>
      </c>
      <c r="D368">
        <v>3100</v>
      </c>
      <c r="E368">
        <v>775</v>
      </c>
      <c r="F368">
        <v>4.1950000000000003</v>
      </c>
      <c r="G368">
        <v>4811</v>
      </c>
      <c r="H368">
        <v>11.5</v>
      </c>
      <c r="I368">
        <v>22.75</v>
      </c>
      <c r="J368">
        <v>14</v>
      </c>
      <c r="K368">
        <v>13.5</v>
      </c>
      <c r="L368">
        <v>167</v>
      </c>
      <c r="M368">
        <v>2</v>
      </c>
      <c r="N368">
        <v>50</v>
      </c>
      <c r="O368" s="2" t="str" cm="1">
        <f t="array" ref="O36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68" s="2" t="str" cm="1">
        <f t="array" ref="P368">_xlfn.IFS(Computed_insight___Success_of_active_sellers__2[[#This Row],[rating]]&gt;=4.5, "Excellent ", Computed_insight___Success_of_active_sellers__2[[#This Row],[rating]]&gt;=4, "Good ", Computed_insight___Success_of_active_sellers__2[[#This Row],[rating]]&gt;=3.5, "Average", TRUE, "Poor ")</f>
        <v xml:space="preserve">Good </v>
      </c>
      <c r="Q368" s="2" t="str" cm="1">
        <f t="array" ref="Q368">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368" s="2" t="str">
        <f>IF(Computed_insight___Success_of_active_sellers__2[[#This Row],[totalurgencycount]]&gt;0, "Has Banner", "No Banner")</f>
        <v>Has Banner</v>
      </c>
    </row>
    <row r="369" spans="1:18" x14ac:dyDescent="0.3">
      <c r="A369">
        <v>367</v>
      </c>
      <c r="B369" t="s">
        <v>52</v>
      </c>
      <c r="C369">
        <v>3</v>
      </c>
      <c r="D369">
        <v>3000</v>
      </c>
      <c r="E369">
        <v>1000</v>
      </c>
      <c r="F369">
        <v>3.96</v>
      </c>
      <c r="G369">
        <v>703</v>
      </c>
      <c r="H369">
        <v>8.6199999999999992</v>
      </c>
      <c r="I369">
        <v>63</v>
      </c>
      <c r="J369">
        <v>86</v>
      </c>
      <c r="K369">
        <v>86.33</v>
      </c>
      <c r="L369">
        <v>86</v>
      </c>
      <c r="M369">
        <v>1</v>
      </c>
      <c r="N369">
        <v>33</v>
      </c>
      <c r="O369" s="2" t="str" cm="1">
        <f t="array" ref="O36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69" s="2" t="str" cm="1">
        <f t="array" ref="P369">_xlfn.IFS(Computed_insight___Success_of_active_sellers__2[[#This Row],[rating]]&gt;=4.5, "Excellent ", Computed_insight___Success_of_active_sellers__2[[#This Row],[rating]]&gt;=4, "Good ", Computed_insight___Success_of_active_sellers__2[[#This Row],[rating]]&gt;=3.5, "Average", TRUE, "Poor ")</f>
        <v>Average</v>
      </c>
      <c r="Q369" s="2" t="str" cm="1">
        <f t="array" ref="Q36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69" s="2" t="str">
        <f>IF(Computed_insight___Success_of_active_sellers__2[[#This Row],[totalurgencycount]]&gt;0, "Has Banner", "No Banner")</f>
        <v>Has Banner</v>
      </c>
    </row>
    <row r="370" spans="1:18" x14ac:dyDescent="0.3">
      <c r="A370">
        <v>368</v>
      </c>
      <c r="B370" t="s">
        <v>376</v>
      </c>
      <c r="C370">
        <v>6</v>
      </c>
      <c r="D370">
        <v>2400</v>
      </c>
      <c r="E370">
        <v>400</v>
      </c>
      <c r="F370">
        <v>3.9590000000000001</v>
      </c>
      <c r="G370">
        <v>5654</v>
      </c>
      <c r="H370">
        <v>3.12</v>
      </c>
      <c r="I370">
        <v>3.33</v>
      </c>
      <c r="J370">
        <v>9</v>
      </c>
      <c r="K370">
        <v>8.67</v>
      </c>
      <c r="L370">
        <v>97</v>
      </c>
      <c r="M370">
        <v>3</v>
      </c>
      <c r="N370">
        <v>50</v>
      </c>
      <c r="O370" s="2" t="str" cm="1">
        <f t="array" ref="O37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70" s="2" t="str" cm="1">
        <f t="array" ref="P370">_xlfn.IFS(Computed_insight___Success_of_active_sellers__2[[#This Row],[rating]]&gt;=4.5, "Excellent ", Computed_insight___Success_of_active_sellers__2[[#This Row],[rating]]&gt;=4, "Good ", Computed_insight___Success_of_active_sellers__2[[#This Row],[rating]]&gt;=3.5, "Average", TRUE, "Poor ")</f>
        <v>Average</v>
      </c>
      <c r="Q370" s="2" t="str" cm="1">
        <f t="array" ref="Q370">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370" s="2" t="str">
        <f>IF(Computed_insight___Success_of_active_sellers__2[[#This Row],[totalurgencycount]]&gt;0, "Has Banner", "No Banner")</f>
        <v>Has Banner</v>
      </c>
    </row>
    <row r="371" spans="1:18" x14ac:dyDescent="0.3">
      <c r="A371">
        <v>369</v>
      </c>
      <c r="B371" t="s">
        <v>164</v>
      </c>
      <c r="C371">
        <v>5</v>
      </c>
      <c r="D371">
        <v>2300</v>
      </c>
      <c r="E371">
        <v>460</v>
      </c>
      <c r="F371">
        <v>3.79</v>
      </c>
      <c r="G371">
        <v>105015</v>
      </c>
      <c r="H371">
        <v>6.83</v>
      </c>
      <c r="I371">
        <v>6.6</v>
      </c>
      <c r="J371">
        <v>1</v>
      </c>
      <c r="K371">
        <v>1</v>
      </c>
      <c r="L371">
        <v>64</v>
      </c>
      <c r="M371">
        <v>2</v>
      </c>
      <c r="N371">
        <v>40</v>
      </c>
      <c r="O371" s="2" t="str" cm="1">
        <f t="array" ref="O37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71" s="2" t="str" cm="1">
        <f t="array" ref="P371">_xlfn.IFS(Computed_insight___Success_of_active_sellers__2[[#This Row],[rating]]&gt;=4.5, "Excellent ", Computed_insight___Success_of_active_sellers__2[[#This Row],[rating]]&gt;=4, "Good ", Computed_insight___Success_of_active_sellers__2[[#This Row],[rating]]&gt;=3.5, "Average", TRUE, "Poor ")</f>
        <v>Average</v>
      </c>
      <c r="Q371" s="2" t="str" cm="1">
        <f t="array" ref="Q371">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371" s="2" t="str">
        <f>IF(Computed_insight___Success_of_active_sellers__2[[#This Row],[totalurgencycount]]&gt;0, "Has Banner", "No Banner")</f>
        <v>Has Banner</v>
      </c>
    </row>
    <row r="372" spans="1:18" x14ac:dyDescent="0.3">
      <c r="A372">
        <v>370</v>
      </c>
      <c r="B372" t="s">
        <v>103</v>
      </c>
      <c r="C372">
        <v>5</v>
      </c>
      <c r="D372">
        <v>2300</v>
      </c>
      <c r="E372">
        <v>460</v>
      </c>
      <c r="F372">
        <v>3.9430000000000001</v>
      </c>
      <c r="G372">
        <v>247</v>
      </c>
      <c r="H372">
        <v>7.53</v>
      </c>
      <c r="I372">
        <v>6.8</v>
      </c>
      <c r="J372">
        <v>-7</v>
      </c>
      <c r="K372">
        <v>-7</v>
      </c>
      <c r="L372">
        <v>51</v>
      </c>
      <c r="M372">
        <v>2</v>
      </c>
      <c r="N372">
        <v>40</v>
      </c>
      <c r="O372" s="2" t="str" cm="1">
        <f t="array" ref="O37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72" s="2" t="str" cm="1">
        <f t="array" ref="P372">_xlfn.IFS(Computed_insight___Success_of_active_sellers__2[[#This Row],[rating]]&gt;=4.5, "Excellent ", Computed_insight___Success_of_active_sellers__2[[#This Row],[rating]]&gt;=4, "Good ", Computed_insight___Success_of_active_sellers__2[[#This Row],[rating]]&gt;=3.5, "Average", TRUE, "Poor ")</f>
        <v>Average</v>
      </c>
      <c r="Q372" s="2" t="str" cm="1">
        <f t="array" ref="Q37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72" s="2" t="str">
        <f>IF(Computed_insight___Success_of_active_sellers__2[[#This Row],[totalurgencycount]]&gt;0, "Has Banner", "No Banner")</f>
        <v>Has Banner</v>
      </c>
    </row>
    <row r="373" spans="1:18" x14ac:dyDescent="0.3">
      <c r="A373">
        <v>371</v>
      </c>
      <c r="B373" t="s">
        <v>563</v>
      </c>
      <c r="C373">
        <v>5</v>
      </c>
      <c r="D373">
        <v>2250</v>
      </c>
      <c r="E373">
        <v>450</v>
      </c>
      <c r="F373">
        <v>3.7970000000000002</v>
      </c>
      <c r="G373">
        <v>3762</v>
      </c>
      <c r="H373">
        <v>6.03</v>
      </c>
      <c r="I373">
        <v>7</v>
      </c>
      <c r="J373">
        <v>21</v>
      </c>
      <c r="K373">
        <v>21.2</v>
      </c>
      <c r="L373">
        <v>34</v>
      </c>
      <c r="M373">
        <v>4</v>
      </c>
      <c r="N373">
        <v>80</v>
      </c>
      <c r="O373" s="2" t="str" cm="1">
        <f t="array" ref="O37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73" s="2" t="str" cm="1">
        <f t="array" ref="P373">_xlfn.IFS(Computed_insight___Success_of_active_sellers__2[[#This Row],[rating]]&gt;=4.5, "Excellent ", Computed_insight___Success_of_active_sellers__2[[#This Row],[rating]]&gt;=4, "Good ", Computed_insight___Success_of_active_sellers__2[[#This Row],[rating]]&gt;=3.5, "Average", TRUE, "Poor ")</f>
        <v>Average</v>
      </c>
      <c r="Q373" s="2" t="str" cm="1">
        <f t="array" ref="Q373">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373" s="2" t="str">
        <f>IF(Computed_insight___Success_of_active_sellers__2[[#This Row],[totalurgencycount]]&gt;0, "Has Banner", "No Banner")</f>
        <v>Has Banner</v>
      </c>
    </row>
    <row r="374" spans="1:18" x14ac:dyDescent="0.3">
      <c r="A374">
        <v>372</v>
      </c>
      <c r="B374" t="s">
        <v>12</v>
      </c>
      <c r="C374">
        <v>4</v>
      </c>
      <c r="D374">
        <v>2200</v>
      </c>
      <c r="E374">
        <v>550</v>
      </c>
      <c r="F374">
        <v>3.9569999999999999</v>
      </c>
      <c r="G374">
        <v>9470</v>
      </c>
      <c r="H374">
        <v>6.37</v>
      </c>
      <c r="I374">
        <v>5.5</v>
      </c>
      <c r="J374">
        <v>-15</v>
      </c>
      <c r="K374">
        <v>-15.25</v>
      </c>
      <c r="L374">
        <v>197</v>
      </c>
      <c r="M374">
        <v>1</v>
      </c>
      <c r="N374">
        <v>25</v>
      </c>
      <c r="O374" s="2" t="str" cm="1">
        <f t="array" ref="O37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74" s="2" t="str" cm="1">
        <f t="array" ref="P374">_xlfn.IFS(Computed_insight___Success_of_active_sellers__2[[#This Row],[rating]]&gt;=4.5, "Excellent ", Computed_insight___Success_of_active_sellers__2[[#This Row],[rating]]&gt;=4, "Good ", Computed_insight___Success_of_active_sellers__2[[#This Row],[rating]]&gt;=3.5, "Average", TRUE, "Poor ")</f>
        <v>Average</v>
      </c>
      <c r="Q374" s="2" t="str" cm="1">
        <f t="array" ref="Q37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74" s="2" t="str">
        <f>IF(Computed_insight___Success_of_active_sellers__2[[#This Row],[totalurgencycount]]&gt;0, "Has Banner", "No Banner")</f>
        <v>Has Banner</v>
      </c>
    </row>
    <row r="375" spans="1:18" x14ac:dyDescent="0.3">
      <c r="A375">
        <v>373</v>
      </c>
      <c r="B375" t="s">
        <v>536</v>
      </c>
      <c r="C375">
        <v>4</v>
      </c>
      <c r="D375">
        <v>2200</v>
      </c>
      <c r="E375">
        <v>550</v>
      </c>
      <c r="F375">
        <v>4.0030000000000001</v>
      </c>
      <c r="G375">
        <v>2044</v>
      </c>
      <c r="H375">
        <v>5.89</v>
      </c>
      <c r="I375">
        <v>21.5</v>
      </c>
      <c r="J375">
        <v>60</v>
      </c>
      <c r="K375">
        <v>59.5</v>
      </c>
      <c r="L375">
        <v>84</v>
      </c>
      <c r="M375">
        <v>2</v>
      </c>
      <c r="N375">
        <v>50</v>
      </c>
      <c r="O375" s="2" t="str" cm="1">
        <f t="array" ref="O37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75" s="2" t="str" cm="1">
        <f t="array" ref="P375">_xlfn.IFS(Computed_insight___Success_of_active_sellers__2[[#This Row],[rating]]&gt;=4.5, "Excellent ", Computed_insight___Success_of_active_sellers__2[[#This Row],[rating]]&gt;=4, "Good ", Computed_insight___Success_of_active_sellers__2[[#This Row],[rating]]&gt;=3.5, "Average", TRUE, "Poor ")</f>
        <v xml:space="preserve">Good </v>
      </c>
      <c r="Q375" s="2" t="str" cm="1">
        <f t="array" ref="Q37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75" s="2" t="str">
        <f>IF(Computed_insight___Success_of_active_sellers__2[[#This Row],[totalurgencycount]]&gt;0, "Has Banner", "No Banner")</f>
        <v>Has Banner</v>
      </c>
    </row>
    <row r="376" spans="1:18" x14ac:dyDescent="0.3">
      <c r="A376">
        <v>374</v>
      </c>
      <c r="B376" t="s">
        <v>643</v>
      </c>
      <c r="C376">
        <v>3</v>
      </c>
      <c r="D376">
        <v>2100</v>
      </c>
      <c r="E376">
        <v>700</v>
      </c>
      <c r="F376">
        <v>3.9529999999999998</v>
      </c>
      <c r="G376">
        <v>7858</v>
      </c>
      <c r="H376">
        <v>6.55</v>
      </c>
      <c r="I376">
        <v>14.67</v>
      </c>
      <c r="J376">
        <v>43</v>
      </c>
      <c r="K376">
        <v>43</v>
      </c>
      <c r="L376">
        <v>235</v>
      </c>
      <c r="M376">
        <v>1</v>
      </c>
      <c r="N376">
        <v>33</v>
      </c>
      <c r="O376" s="2" t="str" cm="1">
        <f t="array" ref="O37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76" s="2" t="str" cm="1">
        <f t="array" ref="P376">_xlfn.IFS(Computed_insight___Success_of_active_sellers__2[[#This Row],[rating]]&gt;=4.5, "Excellent ", Computed_insight___Success_of_active_sellers__2[[#This Row],[rating]]&gt;=4, "Good ", Computed_insight___Success_of_active_sellers__2[[#This Row],[rating]]&gt;=3.5, "Average", TRUE, "Poor ")</f>
        <v>Average</v>
      </c>
      <c r="Q376" s="2" t="str" cm="1">
        <f t="array" ref="Q376">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376" s="2" t="str">
        <f>IF(Computed_insight___Success_of_active_sellers__2[[#This Row],[totalurgencycount]]&gt;0, "Has Banner", "No Banner")</f>
        <v>Has Banner</v>
      </c>
    </row>
    <row r="377" spans="1:18" x14ac:dyDescent="0.3">
      <c r="A377">
        <v>375</v>
      </c>
      <c r="B377" t="s">
        <v>339</v>
      </c>
      <c r="C377">
        <v>3</v>
      </c>
      <c r="D377">
        <v>2100</v>
      </c>
      <c r="E377">
        <v>700</v>
      </c>
      <c r="F377">
        <v>3.9649999999999999</v>
      </c>
      <c r="G377">
        <v>7936</v>
      </c>
      <c r="H377">
        <v>6</v>
      </c>
      <c r="I377">
        <v>5.67</v>
      </c>
      <c r="J377">
        <v>-3</v>
      </c>
      <c r="K377">
        <v>-3</v>
      </c>
      <c r="L377">
        <v>86</v>
      </c>
      <c r="M377">
        <v>1</v>
      </c>
      <c r="N377">
        <v>33</v>
      </c>
      <c r="O377" s="2" t="str" cm="1">
        <f t="array" ref="O37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77" s="2" t="str" cm="1">
        <f t="array" ref="P377">_xlfn.IFS(Computed_insight___Success_of_active_sellers__2[[#This Row],[rating]]&gt;=4.5, "Excellent ", Computed_insight___Success_of_active_sellers__2[[#This Row],[rating]]&gt;=4, "Good ", Computed_insight___Success_of_active_sellers__2[[#This Row],[rating]]&gt;=3.5, "Average", TRUE, "Poor ")</f>
        <v>Average</v>
      </c>
      <c r="Q377" s="2" t="str" cm="1">
        <f t="array" ref="Q37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77" s="2" t="str">
        <f>IF(Computed_insight___Success_of_active_sellers__2[[#This Row],[totalurgencycount]]&gt;0, "Has Banner", "No Banner")</f>
        <v>Has Banner</v>
      </c>
    </row>
    <row r="378" spans="1:18" x14ac:dyDescent="0.3">
      <c r="A378">
        <v>376</v>
      </c>
      <c r="B378" t="s">
        <v>338</v>
      </c>
      <c r="C378">
        <v>3</v>
      </c>
      <c r="D378">
        <v>2100</v>
      </c>
      <c r="E378">
        <v>700</v>
      </c>
      <c r="F378">
        <v>4.024</v>
      </c>
      <c r="G378">
        <v>3300</v>
      </c>
      <c r="H378">
        <v>7.67</v>
      </c>
      <c r="I378">
        <v>25.33</v>
      </c>
      <c r="J378">
        <v>40</v>
      </c>
      <c r="K378">
        <v>39.67</v>
      </c>
      <c r="L378">
        <v>151</v>
      </c>
      <c r="O378" s="2" t="str" cm="1">
        <f t="array" ref="O37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78" s="2" t="str" cm="1">
        <f t="array" ref="P378">_xlfn.IFS(Computed_insight___Success_of_active_sellers__2[[#This Row],[rating]]&gt;=4.5, "Excellent ", Computed_insight___Success_of_active_sellers__2[[#This Row],[rating]]&gt;=4, "Good ", Computed_insight___Success_of_active_sellers__2[[#This Row],[rating]]&gt;=3.5, "Average", TRUE, "Poor ")</f>
        <v xml:space="preserve">Good </v>
      </c>
      <c r="Q378" s="2" t="str" cm="1">
        <f t="array" ref="Q378">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378" s="2" t="str">
        <f>IF(Computed_insight___Success_of_active_sellers__2[[#This Row],[totalurgencycount]]&gt;0, "Has Banner", "No Banner")</f>
        <v>No Banner</v>
      </c>
    </row>
    <row r="379" spans="1:18" x14ac:dyDescent="0.3">
      <c r="A379">
        <v>377</v>
      </c>
      <c r="B379" t="s">
        <v>598</v>
      </c>
      <c r="C379">
        <v>3</v>
      </c>
      <c r="D379">
        <v>2100</v>
      </c>
      <c r="E379">
        <v>700</v>
      </c>
      <c r="F379">
        <v>4.0640000000000001</v>
      </c>
      <c r="G379">
        <v>38985</v>
      </c>
      <c r="H379">
        <v>9.67</v>
      </c>
      <c r="I379">
        <v>48</v>
      </c>
      <c r="J379">
        <v>65</v>
      </c>
      <c r="K379">
        <v>65.33</v>
      </c>
      <c r="L379">
        <v>359</v>
      </c>
      <c r="M379">
        <v>1</v>
      </c>
      <c r="N379">
        <v>33</v>
      </c>
      <c r="O379" s="2" t="str" cm="1">
        <f t="array" ref="O37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79" s="2" t="str" cm="1">
        <f t="array" ref="P379">_xlfn.IFS(Computed_insight___Success_of_active_sellers__2[[#This Row],[rating]]&gt;=4.5, "Excellent ", Computed_insight___Success_of_active_sellers__2[[#This Row],[rating]]&gt;=4, "Good ", Computed_insight___Success_of_active_sellers__2[[#This Row],[rating]]&gt;=3.5, "Average", TRUE, "Poor ")</f>
        <v xml:space="preserve">Good </v>
      </c>
      <c r="Q379" s="2" t="str" cm="1">
        <f t="array" ref="Q37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79" s="2" t="str">
        <f>IF(Computed_insight___Success_of_active_sellers__2[[#This Row],[totalurgencycount]]&gt;0, "Has Banner", "No Banner")</f>
        <v>Has Banner</v>
      </c>
    </row>
    <row r="380" spans="1:18" x14ac:dyDescent="0.3">
      <c r="A380">
        <v>378</v>
      </c>
      <c r="B380" t="s">
        <v>482</v>
      </c>
      <c r="C380">
        <v>3</v>
      </c>
      <c r="D380">
        <v>2100</v>
      </c>
      <c r="E380">
        <v>700</v>
      </c>
      <c r="F380">
        <v>4.117</v>
      </c>
      <c r="G380">
        <v>31138</v>
      </c>
      <c r="H380">
        <v>3.53</v>
      </c>
      <c r="I380">
        <v>6.67</v>
      </c>
      <c r="J380">
        <v>48</v>
      </c>
      <c r="K380">
        <v>48.33</v>
      </c>
      <c r="L380">
        <v>86</v>
      </c>
      <c r="M380">
        <v>1</v>
      </c>
      <c r="N380">
        <v>33</v>
      </c>
      <c r="O380" s="2" t="str" cm="1">
        <f t="array" ref="O38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80" s="2" t="str" cm="1">
        <f t="array" ref="P380">_xlfn.IFS(Computed_insight___Success_of_active_sellers__2[[#This Row],[rating]]&gt;=4.5, "Excellent ", Computed_insight___Success_of_active_sellers__2[[#This Row],[rating]]&gt;=4, "Good ", Computed_insight___Success_of_active_sellers__2[[#This Row],[rating]]&gt;=3.5, "Average", TRUE, "Poor ")</f>
        <v xml:space="preserve">Good </v>
      </c>
      <c r="Q380" s="2" t="str" cm="1">
        <f t="array" ref="Q380">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380" s="2" t="str">
        <f>IF(Computed_insight___Success_of_active_sellers__2[[#This Row],[totalurgencycount]]&gt;0, "Has Banner", "No Banner")</f>
        <v>Has Banner</v>
      </c>
    </row>
    <row r="381" spans="1:18" x14ac:dyDescent="0.3">
      <c r="A381">
        <v>379</v>
      </c>
      <c r="B381" t="s">
        <v>83</v>
      </c>
      <c r="C381">
        <v>3</v>
      </c>
      <c r="D381">
        <v>2100</v>
      </c>
      <c r="E381">
        <v>700</v>
      </c>
      <c r="F381">
        <v>4.1500000000000004</v>
      </c>
      <c r="G381">
        <v>2248</v>
      </c>
      <c r="H381">
        <v>9.67</v>
      </c>
      <c r="I381">
        <v>9</v>
      </c>
      <c r="J381">
        <v>-6</v>
      </c>
      <c r="K381">
        <v>-6</v>
      </c>
      <c r="L381">
        <v>249</v>
      </c>
      <c r="M381">
        <v>2</v>
      </c>
      <c r="N381">
        <v>67</v>
      </c>
      <c r="O381" s="2" t="str" cm="1">
        <f t="array" ref="O38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81" s="2" t="str" cm="1">
        <f t="array" ref="P381">_xlfn.IFS(Computed_insight___Success_of_active_sellers__2[[#This Row],[rating]]&gt;=4.5, "Excellent ", Computed_insight___Success_of_active_sellers__2[[#This Row],[rating]]&gt;=4, "Good ", Computed_insight___Success_of_active_sellers__2[[#This Row],[rating]]&gt;=3.5, "Average", TRUE, "Poor ")</f>
        <v xml:space="preserve">Good </v>
      </c>
      <c r="Q381" s="2" t="str" cm="1">
        <f t="array" ref="Q38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81" s="2" t="str">
        <f>IF(Computed_insight___Success_of_active_sellers__2[[#This Row],[totalurgencycount]]&gt;0, "Has Banner", "No Banner")</f>
        <v>Has Banner</v>
      </c>
    </row>
    <row r="382" spans="1:18" x14ac:dyDescent="0.3">
      <c r="A382">
        <v>380</v>
      </c>
      <c r="B382" t="s">
        <v>24</v>
      </c>
      <c r="C382">
        <v>3</v>
      </c>
      <c r="D382">
        <v>2100</v>
      </c>
      <c r="E382">
        <v>700</v>
      </c>
      <c r="F382">
        <v>4.2320000000000002</v>
      </c>
      <c r="G382">
        <v>4516</v>
      </c>
      <c r="H382">
        <v>9.33</v>
      </c>
      <c r="I382">
        <v>20.329999999999998</v>
      </c>
      <c r="J382">
        <v>52</v>
      </c>
      <c r="K382">
        <v>52.33</v>
      </c>
      <c r="L382">
        <v>87</v>
      </c>
      <c r="O382" s="2" t="str" cm="1">
        <f t="array" ref="O38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82" s="2" t="str" cm="1">
        <f t="array" ref="P382">_xlfn.IFS(Computed_insight___Success_of_active_sellers__2[[#This Row],[rating]]&gt;=4.5, "Excellent ", Computed_insight___Success_of_active_sellers__2[[#This Row],[rating]]&gt;=4, "Good ", Computed_insight___Success_of_active_sellers__2[[#This Row],[rating]]&gt;=3.5, "Average", TRUE, "Poor ")</f>
        <v xml:space="preserve">Good </v>
      </c>
      <c r="Q382" s="2" t="str" cm="1">
        <f t="array" ref="Q38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82" s="2" t="str">
        <f>IF(Computed_insight___Success_of_active_sellers__2[[#This Row],[totalurgencycount]]&gt;0, "Has Banner", "No Banner")</f>
        <v>No Banner</v>
      </c>
    </row>
    <row r="383" spans="1:18" x14ac:dyDescent="0.3">
      <c r="A383">
        <v>381</v>
      </c>
      <c r="B383" t="s">
        <v>576</v>
      </c>
      <c r="C383">
        <v>2</v>
      </c>
      <c r="D383">
        <v>2000</v>
      </c>
      <c r="E383">
        <v>1000</v>
      </c>
      <c r="F383">
        <v>3.476</v>
      </c>
      <c r="G383">
        <v>942</v>
      </c>
      <c r="H383">
        <v>8</v>
      </c>
      <c r="I383">
        <v>7</v>
      </c>
      <c r="J383">
        <v>-14</v>
      </c>
      <c r="K383">
        <v>-14</v>
      </c>
      <c r="L383">
        <v>86</v>
      </c>
      <c r="O383" s="2" t="str" cm="1">
        <f t="array" ref="O38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83" s="2" t="str" cm="1">
        <f t="array" ref="P383">_xlfn.IFS(Computed_insight___Success_of_active_sellers__2[[#This Row],[rating]]&gt;=4.5, "Excellent ", Computed_insight___Success_of_active_sellers__2[[#This Row],[rating]]&gt;=4, "Good ", Computed_insight___Success_of_active_sellers__2[[#This Row],[rating]]&gt;=3.5, "Average", TRUE, "Poor ")</f>
        <v xml:space="preserve">Poor </v>
      </c>
      <c r="Q383" s="2" t="str" cm="1">
        <f t="array" ref="Q38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83" s="2" t="str">
        <f>IF(Computed_insight___Success_of_active_sellers__2[[#This Row],[totalurgencycount]]&gt;0, "Has Banner", "No Banner")</f>
        <v>No Banner</v>
      </c>
    </row>
    <row r="384" spans="1:18" x14ac:dyDescent="0.3">
      <c r="A384">
        <v>382</v>
      </c>
      <c r="B384" t="s">
        <v>391</v>
      </c>
      <c r="C384">
        <v>2</v>
      </c>
      <c r="D384">
        <v>2000</v>
      </c>
      <c r="E384">
        <v>1000</v>
      </c>
      <c r="F384">
        <v>3.677</v>
      </c>
      <c r="G384">
        <v>232</v>
      </c>
      <c r="H384">
        <v>6</v>
      </c>
      <c r="I384">
        <v>10</v>
      </c>
      <c r="J384">
        <v>40</v>
      </c>
      <c r="K384">
        <v>40</v>
      </c>
      <c r="L384">
        <v>87</v>
      </c>
      <c r="M384">
        <v>1</v>
      </c>
      <c r="N384">
        <v>50</v>
      </c>
      <c r="O384" s="2" t="str" cm="1">
        <f t="array" ref="O38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84" s="2" t="str" cm="1">
        <f t="array" ref="P384">_xlfn.IFS(Computed_insight___Success_of_active_sellers__2[[#This Row],[rating]]&gt;=4.5, "Excellent ", Computed_insight___Success_of_active_sellers__2[[#This Row],[rating]]&gt;=4, "Good ", Computed_insight___Success_of_active_sellers__2[[#This Row],[rating]]&gt;=3.5, "Average", TRUE, "Poor ")</f>
        <v>Average</v>
      </c>
      <c r="Q384" s="2" t="str" cm="1">
        <f t="array" ref="Q384">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384" s="2" t="str">
        <f>IF(Computed_insight___Success_of_active_sellers__2[[#This Row],[totalurgencycount]]&gt;0, "Has Banner", "No Banner")</f>
        <v>Has Banner</v>
      </c>
    </row>
    <row r="385" spans="1:18" x14ac:dyDescent="0.3">
      <c r="A385">
        <v>383</v>
      </c>
      <c r="B385" t="s">
        <v>631</v>
      </c>
      <c r="C385">
        <v>2</v>
      </c>
      <c r="D385">
        <v>2000</v>
      </c>
      <c r="E385">
        <v>1000</v>
      </c>
      <c r="F385">
        <v>3.81</v>
      </c>
      <c r="G385">
        <v>28295</v>
      </c>
      <c r="H385">
        <v>6.9</v>
      </c>
      <c r="I385">
        <v>20</v>
      </c>
      <c r="J385">
        <v>56</v>
      </c>
      <c r="K385">
        <v>55.5</v>
      </c>
      <c r="L385">
        <v>104</v>
      </c>
      <c r="O385" s="2" t="str" cm="1">
        <f t="array" ref="O38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85" s="2" t="str" cm="1">
        <f t="array" ref="P385">_xlfn.IFS(Computed_insight___Success_of_active_sellers__2[[#This Row],[rating]]&gt;=4.5, "Excellent ", Computed_insight___Success_of_active_sellers__2[[#This Row],[rating]]&gt;=4, "Good ", Computed_insight___Success_of_active_sellers__2[[#This Row],[rating]]&gt;=3.5, "Average", TRUE, "Poor ")</f>
        <v>Average</v>
      </c>
      <c r="Q385" s="2" t="str" cm="1">
        <f t="array" ref="Q38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85" s="2" t="str">
        <f>IF(Computed_insight___Success_of_active_sellers__2[[#This Row],[totalurgencycount]]&gt;0, "Has Banner", "No Banner")</f>
        <v>No Banner</v>
      </c>
    </row>
    <row r="386" spans="1:18" x14ac:dyDescent="0.3">
      <c r="A386">
        <v>384</v>
      </c>
      <c r="B386" t="s">
        <v>419</v>
      </c>
      <c r="C386">
        <v>2</v>
      </c>
      <c r="D386">
        <v>2000</v>
      </c>
      <c r="E386">
        <v>1000</v>
      </c>
      <c r="F386">
        <v>3.8620000000000001</v>
      </c>
      <c r="G386">
        <v>25914</v>
      </c>
      <c r="H386">
        <v>6</v>
      </c>
      <c r="I386">
        <v>47</v>
      </c>
      <c r="J386">
        <v>88</v>
      </c>
      <c r="K386">
        <v>88</v>
      </c>
      <c r="L386">
        <v>134</v>
      </c>
      <c r="M386">
        <v>1</v>
      </c>
      <c r="N386">
        <v>50</v>
      </c>
      <c r="O386" s="2" t="str" cm="1">
        <f t="array" ref="O38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86" s="2" t="str" cm="1">
        <f t="array" ref="P386">_xlfn.IFS(Computed_insight___Success_of_active_sellers__2[[#This Row],[rating]]&gt;=4.5, "Excellent ", Computed_insight___Success_of_active_sellers__2[[#This Row],[rating]]&gt;=4, "Good ", Computed_insight___Success_of_active_sellers__2[[#This Row],[rating]]&gt;=3.5, "Average", TRUE, "Poor ")</f>
        <v>Average</v>
      </c>
      <c r="Q386" s="2" t="str" cm="1">
        <f t="array" ref="Q38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86" s="2" t="str">
        <f>IF(Computed_insight___Success_of_active_sellers__2[[#This Row],[totalurgencycount]]&gt;0, "Has Banner", "No Banner")</f>
        <v>Has Banner</v>
      </c>
    </row>
    <row r="387" spans="1:18" x14ac:dyDescent="0.3">
      <c r="A387">
        <v>385</v>
      </c>
      <c r="B387" t="s">
        <v>360</v>
      </c>
      <c r="C387">
        <v>2</v>
      </c>
      <c r="D387">
        <v>2000</v>
      </c>
      <c r="E387">
        <v>1000</v>
      </c>
      <c r="F387">
        <v>3.871</v>
      </c>
      <c r="G387">
        <v>13979</v>
      </c>
      <c r="H387">
        <v>5.5</v>
      </c>
      <c r="I387">
        <v>19</v>
      </c>
      <c r="J387">
        <v>67</v>
      </c>
      <c r="K387">
        <v>67</v>
      </c>
      <c r="L387">
        <v>62</v>
      </c>
      <c r="O387" s="2" t="str" cm="1">
        <f t="array" ref="O38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87" s="2" t="str" cm="1">
        <f t="array" ref="P387">_xlfn.IFS(Computed_insight___Success_of_active_sellers__2[[#This Row],[rating]]&gt;=4.5, "Excellent ", Computed_insight___Success_of_active_sellers__2[[#This Row],[rating]]&gt;=4, "Good ", Computed_insight___Success_of_active_sellers__2[[#This Row],[rating]]&gt;=3.5, "Average", TRUE, "Poor ")</f>
        <v>Average</v>
      </c>
      <c r="Q387" s="2" t="str" cm="1">
        <f t="array" ref="Q38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87" s="2" t="str">
        <f>IF(Computed_insight___Success_of_active_sellers__2[[#This Row],[totalurgencycount]]&gt;0, "Has Banner", "No Banner")</f>
        <v>No Banner</v>
      </c>
    </row>
    <row r="388" spans="1:18" x14ac:dyDescent="0.3">
      <c r="A388">
        <v>386</v>
      </c>
      <c r="B388" t="s">
        <v>198</v>
      </c>
      <c r="C388">
        <v>2</v>
      </c>
      <c r="D388">
        <v>2000</v>
      </c>
      <c r="E388">
        <v>1000</v>
      </c>
      <c r="F388">
        <v>3.895</v>
      </c>
      <c r="G388">
        <v>25631</v>
      </c>
      <c r="H388">
        <v>5.85</v>
      </c>
      <c r="I388">
        <v>13</v>
      </c>
      <c r="J388">
        <v>55</v>
      </c>
      <c r="K388">
        <v>55</v>
      </c>
      <c r="L388">
        <v>602</v>
      </c>
      <c r="M388">
        <v>1</v>
      </c>
      <c r="N388">
        <v>50</v>
      </c>
      <c r="O388" s="2" t="str" cm="1">
        <f t="array" ref="O38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88" s="2" t="str" cm="1">
        <f t="array" ref="P388">_xlfn.IFS(Computed_insight___Success_of_active_sellers__2[[#This Row],[rating]]&gt;=4.5, "Excellent ", Computed_insight___Success_of_active_sellers__2[[#This Row],[rating]]&gt;=4, "Good ", Computed_insight___Success_of_active_sellers__2[[#This Row],[rating]]&gt;=3.5, "Average", TRUE, "Poor ")</f>
        <v>Average</v>
      </c>
      <c r="Q388" s="2" t="str" cm="1">
        <f t="array" ref="Q38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88" s="2" t="str">
        <f>IF(Computed_insight___Success_of_active_sellers__2[[#This Row],[totalurgencycount]]&gt;0, "Has Banner", "No Banner")</f>
        <v>Has Banner</v>
      </c>
    </row>
    <row r="389" spans="1:18" x14ac:dyDescent="0.3">
      <c r="A389">
        <v>387</v>
      </c>
      <c r="B389" t="s">
        <v>375</v>
      </c>
      <c r="C389">
        <v>2</v>
      </c>
      <c r="D389">
        <v>2000</v>
      </c>
      <c r="E389">
        <v>1000</v>
      </c>
      <c r="F389">
        <v>3.9079999999999999</v>
      </c>
      <c r="G389">
        <v>87178</v>
      </c>
      <c r="H389">
        <v>11</v>
      </c>
      <c r="I389">
        <v>152</v>
      </c>
      <c r="J389">
        <v>93</v>
      </c>
      <c r="K389">
        <v>93</v>
      </c>
      <c r="L389">
        <v>808</v>
      </c>
      <c r="M389">
        <v>1</v>
      </c>
      <c r="N389">
        <v>50</v>
      </c>
      <c r="O389" s="2" t="str" cm="1">
        <f t="array" ref="O38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89" s="2" t="str" cm="1">
        <f t="array" ref="P389">_xlfn.IFS(Computed_insight___Success_of_active_sellers__2[[#This Row],[rating]]&gt;=4.5, "Excellent ", Computed_insight___Success_of_active_sellers__2[[#This Row],[rating]]&gt;=4, "Good ", Computed_insight___Success_of_active_sellers__2[[#This Row],[rating]]&gt;=3.5, "Average", TRUE, "Poor ")</f>
        <v>Average</v>
      </c>
      <c r="Q389" s="2" t="str" cm="1">
        <f t="array" ref="Q38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89" s="2" t="str">
        <f>IF(Computed_insight___Success_of_active_sellers__2[[#This Row],[totalurgencycount]]&gt;0, "Has Banner", "No Banner")</f>
        <v>Has Banner</v>
      </c>
    </row>
    <row r="390" spans="1:18" x14ac:dyDescent="0.3">
      <c r="A390">
        <v>388</v>
      </c>
      <c r="B390" t="s">
        <v>212</v>
      </c>
      <c r="C390">
        <v>2</v>
      </c>
      <c r="D390">
        <v>2000</v>
      </c>
      <c r="E390">
        <v>1000</v>
      </c>
      <c r="F390">
        <v>3.91</v>
      </c>
      <c r="G390">
        <v>20478</v>
      </c>
      <c r="H390">
        <v>12</v>
      </c>
      <c r="I390">
        <v>17</v>
      </c>
      <c r="J390">
        <v>30</v>
      </c>
      <c r="K390">
        <v>30</v>
      </c>
      <c r="L390">
        <v>103</v>
      </c>
      <c r="M390">
        <v>1</v>
      </c>
      <c r="N390">
        <v>50</v>
      </c>
      <c r="O390" s="2" t="str" cm="1">
        <f t="array" ref="O39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90" s="2" t="str" cm="1">
        <f t="array" ref="P390">_xlfn.IFS(Computed_insight___Success_of_active_sellers__2[[#This Row],[rating]]&gt;=4.5, "Excellent ", Computed_insight___Success_of_active_sellers__2[[#This Row],[rating]]&gt;=4, "Good ", Computed_insight___Success_of_active_sellers__2[[#This Row],[rating]]&gt;=3.5, "Average", TRUE, "Poor ")</f>
        <v>Average</v>
      </c>
      <c r="Q390" s="2" t="str" cm="1">
        <f t="array" ref="Q390">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390" s="2" t="str">
        <f>IF(Computed_insight___Success_of_active_sellers__2[[#This Row],[totalurgencycount]]&gt;0, "Has Banner", "No Banner")</f>
        <v>Has Banner</v>
      </c>
    </row>
    <row r="391" spans="1:18" x14ac:dyDescent="0.3">
      <c r="A391">
        <v>389</v>
      </c>
      <c r="B391" t="s">
        <v>801</v>
      </c>
      <c r="C391">
        <v>2</v>
      </c>
      <c r="D391">
        <v>2000</v>
      </c>
      <c r="E391">
        <v>1000</v>
      </c>
      <c r="F391">
        <v>3.9489999999999998</v>
      </c>
      <c r="G391">
        <v>36913</v>
      </c>
      <c r="H391">
        <v>7.5</v>
      </c>
      <c r="I391">
        <v>11</v>
      </c>
      <c r="J391">
        <v>30</v>
      </c>
      <c r="K391">
        <v>29.5</v>
      </c>
      <c r="L391">
        <v>59</v>
      </c>
      <c r="M391">
        <v>1</v>
      </c>
      <c r="N391">
        <v>50</v>
      </c>
      <c r="O391" s="2" t="str" cm="1">
        <f t="array" ref="O39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91" s="2" t="str" cm="1">
        <f t="array" ref="P391">_xlfn.IFS(Computed_insight___Success_of_active_sellers__2[[#This Row],[rating]]&gt;=4.5, "Excellent ", Computed_insight___Success_of_active_sellers__2[[#This Row],[rating]]&gt;=4, "Good ", Computed_insight___Success_of_active_sellers__2[[#This Row],[rating]]&gt;=3.5, "Average", TRUE, "Poor ")</f>
        <v>Average</v>
      </c>
      <c r="Q391" s="2" t="str" cm="1">
        <f t="array" ref="Q391">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391" s="2" t="str">
        <f>IF(Computed_insight___Success_of_active_sellers__2[[#This Row],[totalurgencycount]]&gt;0, "Has Banner", "No Banner")</f>
        <v>Has Banner</v>
      </c>
    </row>
    <row r="392" spans="1:18" x14ac:dyDescent="0.3">
      <c r="A392">
        <v>390</v>
      </c>
      <c r="B392" t="s">
        <v>191</v>
      </c>
      <c r="C392">
        <v>2</v>
      </c>
      <c r="D392">
        <v>2000</v>
      </c>
      <c r="E392">
        <v>1000</v>
      </c>
      <c r="F392">
        <v>3.9649999999999999</v>
      </c>
      <c r="G392">
        <v>3373</v>
      </c>
      <c r="H392">
        <v>9</v>
      </c>
      <c r="I392">
        <v>65</v>
      </c>
      <c r="J392">
        <v>87</v>
      </c>
      <c r="K392">
        <v>87</v>
      </c>
      <c r="L392">
        <v>162</v>
      </c>
      <c r="M392">
        <v>1</v>
      </c>
      <c r="N392">
        <v>50</v>
      </c>
      <c r="O392" s="2" t="str" cm="1">
        <f t="array" ref="O39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92" s="2" t="str" cm="1">
        <f t="array" ref="P392">_xlfn.IFS(Computed_insight___Success_of_active_sellers__2[[#This Row],[rating]]&gt;=4.5, "Excellent ", Computed_insight___Success_of_active_sellers__2[[#This Row],[rating]]&gt;=4, "Good ", Computed_insight___Success_of_active_sellers__2[[#This Row],[rating]]&gt;=3.5, "Average", TRUE, "Poor ")</f>
        <v>Average</v>
      </c>
      <c r="Q392" s="2" t="str" cm="1">
        <f t="array" ref="Q39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92" s="2" t="str">
        <f>IF(Computed_insight___Success_of_active_sellers__2[[#This Row],[totalurgencycount]]&gt;0, "Has Banner", "No Banner")</f>
        <v>Has Banner</v>
      </c>
    </row>
    <row r="393" spans="1:18" x14ac:dyDescent="0.3">
      <c r="A393">
        <v>391</v>
      </c>
      <c r="B393" t="s">
        <v>78</v>
      </c>
      <c r="C393">
        <v>2</v>
      </c>
      <c r="D393">
        <v>2000</v>
      </c>
      <c r="E393">
        <v>1000</v>
      </c>
      <c r="F393">
        <v>3.9649999999999999</v>
      </c>
      <c r="G393">
        <v>1322</v>
      </c>
      <c r="H393">
        <v>8</v>
      </c>
      <c r="I393">
        <v>7</v>
      </c>
      <c r="J393">
        <v>-14</v>
      </c>
      <c r="K393">
        <v>-14</v>
      </c>
      <c r="L393">
        <v>373</v>
      </c>
      <c r="M393">
        <v>1</v>
      </c>
      <c r="N393">
        <v>50</v>
      </c>
      <c r="O393" s="2" t="str" cm="1">
        <f t="array" ref="O39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93" s="2" t="str" cm="1">
        <f t="array" ref="P393">_xlfn.IFS(Computed_insight___Success_of_active_sellers__2[[#This Row],[rating]]&gt;=4.5, "Excellent ", Computed_insight___Success_of_active_sellers__2[[#This Row],[rating]]&gt;=4, "Good ", Computed_insight___Success_of_active_sellers__2[[#This Row],[rating]]&gt;=3.5, "Average", TRUE, "Poor ")</f>
        <v>Average</v>
      </c>
      <c r="Q393" s="2" t="str" cm="1">
        <f t="array" ref="Q39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93" s="2" t="str">
        <f>IF(Computed_insight___Success_of_active_sellers__2[[#This Row],[totalurgencycount]]&gt;0, "Has Banner", "No Banner")</f>
        <v>Has Banner</v>
      </c>
    </row>
    <row r="394" spans="1:18" x14ac:dyDescent="0.3">
      <c r="A394">
        <v>392</v>
      </c>
      <c r="B394" t="s">
        <v>135</v>
      </c>
      <c r="C394">
        <v>2</v>
      </c>
      <c r="D394">
        <v>2000</v>
      </c>
      <c r="E394">
        <v>1000</v>
      </c>
      <c r="F394">
        <v>4.0119999999999996</v>
      </c>
      <c r="G394">
        <v>1290</v>
      </c>
      <c r="H394">
        <v>7</v>
      </c>
      <c r="I394">
        <v>50</v>
      </c>
      <c r="J394">
        <v>86</v>
      </c>
      <c r="K394">
        <v>86</v>
      </c>
      <c r="L394">
        <v>49</v>
      </c>
      <c r="M394">
        <v>1</v>
      </c>
      <c r="N394">
        <v>50</v>
      </c>
      <c r="O394" s="2" t="str" cm="1">
        <f t="array" ref="O39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94" s="2" t="str" cm="1">
        <f t="array" ref="P394">_xlfn.IFS(Computed_insight___Success_of_active_sellers__2[[#This Row],[rating]]&gt;=4.5, "Excellent ", Computed_insight___Success_of_active_sellers__2[[#This Row],[rating]]&gt;=4, "Good ", Computed_insight___Success_of_active_sellers__2[[#This Row],[rating]]&gt;=3.5, "Average", TRUE, "Poor ")</f>
        <v xml:space="preserve">Good </v>
      </c>
      <c r="Q394" s="2" t="str" cm="1">
        <f t="array" ref="Q39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394" s="2" t="str">
        <f>IF(Computed_insight___Success_of_active_sellers__2[[#This Row],[totalurgencycount]]&gt;0, "Has Banner", "No Banner")</f>
        <v>Has Banner</v>
      </c>
    </row>
    <row r="395" spans="1:18" x14ac:dyDescent="0.3">
      <c r="A395">
        <v>393</v>
      </c>
      <c r="B395" t="s">
        <v>299</v>
      </c>
      <c r="C395">
        <v>2</v>
      </c>
      <c r="D395">
        <v>2000</v>
      </c>
      <c r="E395">
        <v>1000</v>
      </c>
      <c r="F395">
        <v>4.0129999999999999</v>
      </c>
      <c r="G395">
        <v>9341</v>
      </c>
      <c r="H395">
        <v>7</v>
      </c>
      <c r="I395">
        <v>6</v>
      </c>
      <c r="J395">
        <v>-16</v>
      </c>
      <c r="K395">
        <v>-16</v>
      </c>
      <c r="L395">
        <v>245</v>
      </c>
      <c r="M395">
        <v>1</v>
      </c>
      <c r="N395">
        <v>50</v>
      </c>
      <c r="O395" s="2" t="str" cm="1">
        <f t="array" ref="O39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95" s="2" t="str" cm="1">
        <f t="array" ref="P395">_xlfn.IFS(Computed_insight___Success_of_active_sellers__2[[#This Row],[rating]]&gt;=4.5, "Excellent ", Computed_insight___Success_of_active_sellers__2[[#This Row],[rating]]&gt;=4, "Good ", Computed_insight___Success_of_active_sellers__2[[#This Row],[rating]]&gt;=3.5, "Average", TRUE, "Poor ")</f>
        <v xml:space="preserve">Good </v>
      </c>
      <c r="Q395" s="2" t="str" cm="1">
        <f t="array" ref="Q39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95" s="2" t="str">
        <f>IF(Computed_insight___Success_of_active_sellers__2[[#This Row],[totalurgencycount]]&gt;0, "Has Banner", "No Banner")</f>
        <v>Has Banner</v>
      </c>
    </row>
    <row r="396" spans="1:18" x14ac:dyDescent="0.3">
      <c r="A396">
        <v>394</v>
      </c>
      <c r="B396" t="s">
        <v>432</v>
      </c>
      <c r="C396">
        <v>2</v>
      </c>
      <c r="D396">
        <v>2000</v>
      </c>
      <c r="E396">
        <v>1000</v>
      </c>
      <c r="F396">
        <v>4.0389999999999997</v>
      </c>
      <c r="G396">
        <v>16523</v>
      </c>
      <c r="H396">
        <v>11</v>
      </c>
      <c r="I396">
        <v>33.5</v>
      </c>
      <c r="J396">
        <v>33</v>
      </c>
      <c r="K396">
        <v>33</v>
      </c>
      <c r="L396">
        <v>576</v>
      </c>
      <c r="M396">
        <v>1</v>
      </c>
      <c r="N396">
        <v>50</v>
      </c>
      <c r="O396" s="2" t="str" cm="1">
        <f t="array" ref="O39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96" s="2" t="str" cm="1">
        <f t="array" ref="P396">_xlfn.IFS(Computed_insight___Success_of_active_sellers__2[[#This Row],[rating]]&gt;=4.5, "Excellent ", Computed_insight___Success_of_active_sellers__2[[#This Row],[rating]]&gt;=4, "Good ", Computed_insight___Success_of_active_sellers__2[[#This Row],[rating]]&gt;=3.5, "Average", TRUE, "Poor ")</f>
        <v xml:space="preserve">Good </v>
      </c>
      <c r="Q396" s="2" t="str" cm="1">
        <f t="array" ref="Q396">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396" s="2" t="str">
        <f>IF(Computed_insight___Success_of_active_sellers__2[[#This Row],[totalurgencycount]]&gt;0, "Has Banner", "No Banner")</f>
        <v>Has Banner</v>
      </c>
    </row>
    <row r="397" spans="1:18" x14ac:dyDescent="0.3">
      <c r="A397">
        <v>395</v>
      </c>
      <c r="B397" t="s">
        <v>116</v>
      </c>
      <c r="C397">
        <v>2</v>
      </c>
      <c r="D397">
        <v>2000</v>
      </c>
      <c r="E397">
        <v>1000</v>
      </c>
      <c r="F397">
        <v>4.0570000000000004</v>
      </c>
      <c r="G397">
        <v>6715</v>
      </c>
      <c r="H397">
        <v>10</v>
      </c>
      <c r="I397">
        <v>33.5</v>
      </c>
      <c r="J397">
        <v>35</v>
      </c>
      <c r="K397">
        <v>35</v>
      </c>
      <c r="L397">
        <v>130</v>
      </c>
      <c r="M397">
        <v>1</v>
      </c>
      <c r="N397">
        <v>50</v>
      </c>
      <c r="O397" s="2" t="str" cm="1">
        <f t="array" ref="O39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97" s="2" t="str" cm="1">
        <f t="array" ref="P397">_xlfn.IFS(Computed_insight___Success_of_active_sellers__2[[#This Row],[rating]]&gt;=4.5, "Excellent ", Computed_insight___Success_of_active_sellers__2[[#This Row],[rating]]&gt;=4, "Good ", Computed_insight___Success_of_active_sellers__2[[#This Row],[rating]]&gt;=3.5, "Average", TRUE, "Poor ")</f>
        <v xml:space="preserve">Good </v>
      </c>
      <c r="Q397" s="2" t="str" cm="1">
        <f t="array" ref="Q397">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397" s="2" t="str">
        <f>IF(Computed_insight___Success_of_active_sellers__2[[#This Row],[totalurgencycount]]&gt;0, "Has Banner", "No Banner")</f>
        <v>Has Banner</v>
      </c>
    </row>
    <row r="398" spans="1:18" x14ac:dyDescent="0.3">
      <c r="A398">
        <v>396</v>
      </c>
      <c r="B398" t="s">
        <v>31</v>
      </c>
      <c r="C398">
        <v>2</v>
      </c>
      <c r="D398">
        <v>2000</v>
      </c>
      <c r="E398">
        <v>1000</v>
      </c>
      <c r="F398">
        <v>4.0599999999999996</v>
      </c>
      <c r="G398">
        <v>7034</v>
      </c>
      <c r="H398">
        <v>9.33</v>
      </c>
      <c r="I398">
        <v>8.5</v>
      </c>
      <c r="J398">
        <v>-6</v>
      </c>
      <c r="K398">
        <v>-6</v>
      </c>
      <c r="L398">
        <v>295</v>
      </c>
      <c r="O398" s="2" t="str" cm="1">
        <f t="array" ref="O39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98" s="2" t="str" cm="1">
        <f t="array" ref="P398">_xlfn.IFS(Computed_insight___Success_of_active_sellers__2[[#This Row],[rating]]&gt;=4.5, "Excellent ", Computed_insight___Success_of_active_sellers__2[[#This Row],[rating]]&gt;=4, "Good ", Computed_insight___Success_of_active_sellers__2[[#This Row],[rating]]&gt;=3.5, "Average", TRUE, "Poor ")</f>
        <v xml:space="preserve">Good </v>
      </c>
      <c r="Q398" s="2" t="str" cm="1">
        <f t="array" ref="Q39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98" s="2" t="str">
        <f>IF(Computed_insight___Success_of_active_sellers__2[[#This Row],[totalurgencycount]]&gt;0, "Has Banner", "No Banner")</f>
        <v>No Banner</v>
      </c>
    </row>
    <row r="399" spans="1:18" x14ac:dyDescent="0.3">
      <c r="A399">
        <v>397</v>
      </c>
      <c r="B399" t="s">
        <v>519</v>
      </c>
      <c r="C399">
        <v>2</v>
      </c>
      <c r="D399">
        <v>2000</v>
      </c>
      <c r="E399">
        <v>1000</v>
      </c>
      <c r="F399">
        <v>4.0970000000000004</v>
      </c>
      <c r="G399">
        <v>2076</v>
      </c>
      <c r="H399">
        <v>8</v>
      </c>
      <c r="I399">
        <v>7</v>
      </c>
      <c r="J399">
        <v>-14</v>
      </c>
      <c r="K399">
        <v>-14</v>
      </c>
      <c r="L399">
        <v>220</v>
      </c>
      <c r="O399" s="2" t="str" cm="1">
        <f t="array" ref="O39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399" s="2" t="str" cm="1">
        <f t="array" ref="P399">_xlfn.IFS(Computed_insight___Success_of_active_sellers__2[[#This Row],[rating]]&gt;=4.5, "Excellent ", Computed_insight___Success_of_active_sellers__2[[#This Row],[rating]]&gt;=4, "Good ", Computed_insight___Success_of_active_sellers__2[[#This Row],[rating]]&gt;=3.5, "Average", TRUE, "Poor ")</f>
        <v xml:space="preserve">Good </v>
      </c>
      <c r="Q399" s="2" t="str" cm="1">
        <f t="array" ref="Q39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399" s="2" t="str">
        <f>IF(Computed_insight___Success_of_active_sellers__2[[#This Row],[totalurgencycount]]&gt;0, "Has Banner", "No Banner")</f>
        <v>No Banner</v>
      </c>
    </row>
    <row r="400" spans="1:18" x14ac:dyDescent="0.3">
      <c r="A400">
        <v>398</v>
      </c>
      <c r="B400" t="s">
        <v>939</v>
      </c>
      <c r="C400">
        <v>2</v>
      </c>
      <c r="D400">
        <v>2000</v>
      </c>
      <c r="E400">
        <v>1000</v>
      </c>
      <c r="F400">
        <v>4.109</v>
      </c>
      <c r="G400">
        <v>612</v>
      </c>
      <c r="H400">
        <v>8</v>
      </c>
      <c r="I400">
        <v>7</v>
      </c>
      <c r="J400">
        <v>-14</v>
      </c>
      <c r="K400">
        <v>-14</v>
      </c>
      <c r="L400">
        <v>118</v>
      </c>
      <c r="M400">
        <v>1</v>
      </c>
      <c r="N400">
        <v>50</v>
      </c>
      <c r="O400" s="2" t="str" cm="1">
        <f t="array" ref="O40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00" s="2" t="str" cm="1">
        <f t="array" ref="P400">_xlfn.IFS(Computed_insight___Success_of_active_sellers__2[[#This Row],[rating]]&gt;=4.5, "Excellent ", Computed_insight___Success_of_active_sellers__2[[#This Row],[rating]]&gt;=4, "Good ", Computed_insight___Success_of_active_sellers__2[[#This Row],[rating]]&gt;=3.5, "Average", TRUE, "Poor ")</f>
        <v xml:space="preserve">Good </v>
      </c>
      <c r="Q400" s="2" t="str" cm="1">
        <f t="array" ref="Q40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00" s="2" t="str">
        <f>IF(Computed_insight___Success_of_active_sellers__2[[#This Row],[totalurgencycount]]&gt;0, "Has Banner", "No Banner")</f>
        <v>Has Banner</v>
      </c>
    </row>
    <row r="401" spans="1:18" x14ac:dyDescent="0.3">
      <c r="A401">
        <v>399</v>
      </c>
      <c r="B401" t="s">
        <v>64</v>
      </c>
      <c r="C401">
        <v>2</v>
      </c>
      <c r="D401">
        <v>2000</v>
      </c>
      <c r="E401">
        <v>1000</v>
      </c>
      <c r="F401">
        <v>4.1509999999999998</v>
      </c>
      <c r="G401">
        <v>11900</v>
      </c>
      <c r="H401">
        <v>14</v>
      </c>
      <c r="I401">
        <v>75.5</v>
      </c>
      <c r="J401">
        <v>82</v>
      </c>
      <c r="K401">
        <v>82</v>
      </c>
      <c r="L401">
        <v>159</v>
      </c>
      <c r="O401" s="2" t="str" cm="1">
        <f t="array" ref="O40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01" s="2" t="str" cm="1">
        <f t="array" ref="P401">_xlfn.IFS(Computed_insight___Success_of_active_sellers__2[[#This Row],[rating]]&gt;=4.5, "Excellent ", Computed_insight___Success_of_active_sellers__2[[#This Row],[rating]]&gt;=4, "Good ", Computed_insight___Success_of_active_sellers__2[[#This Row],[rating]]&gt;=3.5, "Average", TRUE, "Poor ")</f>
        <v xml:space="preserve">Good </v>
      </c>
      <c r="Q401" s="2" t="str" cm="1">
        <f t="array" ref="Q40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01" s="2" t="str">
        <f>IF(Computed_insight___Success_of_active_sellers__2[[#This Row],[totalurgencycount]]&gt;0, "Has Banner", "No Banner")</f>
        <v>No Banner</v>
      </c>
    </row>
    <row r="402" spans="1:18" x14ac:dyDescent="0.3">
      <c r="A402">
        <v>400</v>
      </c>
      <c r="B402" t="s">
        <v>50</v>
      </c>
      <c r="C402">
        <v>2</v>
      </c>
      <c r="D402">
        <v>2000</v>
      </c>
      <c r="E402">
        <v>1000</v>
      </c>
      <c r="F402">
        <v>4.173</v>
      </c>
      <c r="G402">
        <v>10377</v>
      </c>
      <c r="H402">
        <v>5.84</v>
      </c>
      <c r="I402">
        <v>11</v>
      </c>
      <c r="J402">
        <v>47</v>
      </c>
      <c r="K402">
        <v>47</v>
      </c>
      <c r="L402">
        <v>307</v>
      </c>
      <c r="M402">
        <v>1</v>
      </c>
      <c r="N402">
        <v>50</v>
      </c>
      <c r="O402" s="2" t="str" cm="1">
        <f t="array" ref="O40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02" s="2" t="str" cm="1">
        <f t="array" ref="P402">_xlfn.IFS(Computed_insight___Success_of_active_sellers__2[[#This Row],[rating]]&gt;=4.5, "Excellent ", Computed_insight___Success_of_active_sellers__2[[#This Row],[rating]]&gt;=4, "Good ", Computed_insight___Success_of_active_sellers__2[[#This Row],[rating]]&gt;=3.5, "Average", TRUE, "Poor ")</f>
        <v xml:space="preserve">Good </v>
      </c>
      <c r="Q402" s="2" t="str" cm="1">
        <f t="array" ref="Q402">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402" s="2" t="str">
        <f>IF(Computed_insight___Success_of_active_sellers__2[[#This Row],[totalurgencycount]]&gt;0, "Has Banner", "No Banner")</f>
        <v>Has Banner</v>
      </c>
    </row>
    <row r="403" spans="1:18" x14ac:dyDescent="0.3">
      <c r="A403">
        <v>401</v>
      </c>
      <c r="B403" t="s">
        <v>172</v>
      </c>
      <c r="C403">
        <v>2</v>
      </c>
      <c r="D403">
        <v>2000</v>
      </c>
      <c r="E403">
        <v>1000</v>
      </c>
      <c r="F403">
        <v>4.1820000000000004</v>
      </c>
      <c r="G403">
        <v>3161</v>
      </c>
      <c r="H403">
        <v>5.87</v>
      </c>
      <c r="I403">
        <v>36</v>
      </c>
      <c r="J403">
        <v>73</v>
      </c>
      <c r="K403">
        <v>72.5</v>
      </c>
      <c r="L403">
        <v>163</v>
      </c>
      <c r="O403" s="2" t="str" cm="1">
        <f t="array" ref="O40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03" s="2" t="str" cm="1">
        <f t="array" ref="P403">_xlfn.IFS(Computed_insight___Success_of_active_sellers__2[[#This Row],[rating]]&gt;=4.5, "Excellent ", Computed_insight___Success_of_active_sellers__2[[#This Row],[rating]]&gt;=4, "Good ", Computed_insight___Success_of_active_sellers__2[[#This Row],[rating]]&gt;=3.5, "Average", TRUE, "Poor ")</f>
        <v xml:space="preserve">Good </v>
      </c>
      <c r="Q403" s="2" t="str" cm="1">
        <f t="array" ref="Q40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03" s="2" t="str">
        <f>IF(Computed_insight___Success_of_active_sellers__2[[#This Row],[totalurgencycount]]&gt;0, "Has Banner", "No Banner")</f>
        <v>No Banner</v>
      </c>
    </row>
    <row r="404" spans="1:18" x14ac:dyDescent="0.3">
      <c r="A404">
        <v>402</v>
      </c>
      <c r="B404" t="s">
        <v>719</v>
      </c>
      <c r="C404">
        <v>2</v>
      </c>
      <c r="D404">
        <v>2000</v>
      </c>
      <c r="E404">
        <v>1000</v>
      </c>
      <c r="F404">
        <v>4.1840000000000002</v>
      </c>
      <c r="G404">
        <v>6775</v>
      </c>
      <c r="H404">
        <v>15</v>
      </c>
      <c r="I404">
        <v>68</v>
      </c>
      <c r="J404">
        <v>78</v>
      </c>
      <c r="K404">
        <v>78</v>
      </c>
      <c r="L404">
        <v>546</v>
      </c>
      <c r="M404">
        <v>1</v>
      </c>
      <c r="N404">
        <v>50</v>
      </c>
      <c r="O404" s="2" t="str" cm="1">
        <f t="array" ref="O40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04" s="2" t="str" cm="1">
        <f t="array" ref="P404">_xlfn.IFS(Computed_insight___Success_of_active_sellers__2[[#This Row],[rating]]&gt;=4.5, "Excellent ", Computed_insight___Success_of_active_sellers__2[[#This Row],[rating]]&gt;=4, "Good ", Computed_insight___Success_of_active_sellers__2[[#This Row],[rating]]&gt;=3.5, "Average", TRUE, "Poor ")</f>
        <v xml:space="preserve">Good </v>
      </c>
      <c r="Q404" s="2" t="str" cm="1">
        <f t="array" ref="Q40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04" s="2" t="str">
        <f>IF(Computed_insight___Success_of_active_sellers__2[[#This Row],[totalurgencycount]]&gt;0, "Has Banner", "No Banner")</f>
        <v>Has Banner</v>
      </c>
    </row>
    <row r="405" spans="1:18" x14ac:dyDescent="0.3">
      <c r="A405">
        <v>403</v>
      </c>
      <c r="B405" t="s">
        <v>319</v>
      </c>
      <c r="C405">
        <v>2</v>
      </c>
      <c r="D405">
        <v>2000</v>
      </c>
      <c r="E405">
        <v>1000</v>
      </c>
      <c r="F405">
        <v>4.2880000000000003</v>
      </c>
      <c r="G405">
        <v>3883</v>
      </c>
      <c r="H405">
        <v>5</v>
      </c>
      <c r="I405">
        <v>5</v>
      </c>
      <c r="J405">
        <v>0</v>
      </c>
      <c r="K405">
        <v>0</v>
      </c>
      <c r="L405">
        <v>435</v>
      </c>
      <c r="M405">
        <v>1</v>
      </c>
      <c r="N405">
        <v>50</v>
      </c>
      <c r="O405" s="2" t="str" cm="1">
        <f t="array" ref="O40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05" s="2" t="str" cm="1">
        <f t="array" ref="P405">_xlfn.IFS(Computed_insight___Success_of_active_sellers__2[[#This Row],[rating]]&gt;=4.5, "Excellent ", Computed_insight___Success_of_active_sellers__2[[#This Row],[rating]]&gt;=4, "Good ", Computed_insight___Success_of_active_sellers__2[[#This Row],[rating]]&gt;=3.5, "Average", TRUE, "Poor ")</f>
        <v xml:space="preserve">Good </v>
      </c>
      <c r="Q405" s="2" t="str" cm="1">
        <f t="array" ref="Q40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05" s="2" t="str">
        <f>IF(Computed_insight___Success_of_active_sellers__2[[#This Row],[totalurgencycount]]&gt;0, "Has Banner", "No Banner")</f>
        <v>Has Banner</v>
      </c>
    </row>
    <row r="406" spans="1:18" x14ac:dyDescent="0.3">
      <c r="A406">
        <v>404</v>
      </c>
      <c r="B406" t="s">
        <v>682</v>
      </c>
      <c r="C406">
        <v>2</v>
      </c>
      <c r="D406">
        <v>2000</v>
      </c>
      <c r="E406">
        <v>1000</v>
      </c>
      <c r="F406">
        <v>4.3250000000000002</v>
      </c>
      <c r="G406">
        <v>2792</v>
      </c>
      <c r="H406">
        <v>5</v>
      </c>
      <c r="I406">
        <v>5</v>
      </c>
      <c r="J406">
        <v>0</v>
      </c>
      <c r="K406">
        <v>0</v>
      </c>
      <c r="L406">
        <v>31</v>
      </c>
      <c r="M406">
        <v>1</v>
      </c>
      <c r="N406">
        <v>50</v>
      </c>
      <c r="O406" s="2" t="str" cm="1">
        <f t="array" ref="O40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06" s="2" t="str" cm="1">
        <f t="array" ref="P406">_xlfn.IFS(Computed_insight___Success_of_active_sellers__2[[#This Row],[rating]]&gt;=4.5, "Excellent ", Computed_insight___Success_of_active_sellers__2[[#This Row],[rating]]&gt;=4, "Good ", Computed_insight___Success_of_active_sellers__2[[#This Row],[rating]]&gt;=3.5, "Average", TRUE, "Poor ")</f>
        <v xml:space="preserve">Good </v>
      </c>
      <c r="Q406" s="2" t="str" cm="1">
        <f t="array" ref="Q40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06" s="2" t="str">
        <f>IF(Computed_insight___Success_of_active_sellers__2[[#This Row],[totalurgencycount]]&gt;0, "Has Banner", "No Banner")</f>
        <v>Has Banner</v>
      </c>
    </row>
    <row r="407" spans="1:18" x14ac:dyDescent="0.3">
      <c r="A407">
        <v>405</v>
      </c>
      <c r="B407" t="s">
        <v>141</v>
      </c>
      <c r="C407">
        <v>2</v>
      </c>
      <c r="D407">
        <v>2000</v>
      </c>
      <c r="E407">
        <v>1000</v>
      </c>
      <c r="F407">
        <v>4.3310000000000004</v>
      </c>
      <c r="G407">
        <v>4508</v>
      </c>
      <c r="H407">
        <v>12</v>
      </c>
      <c r="I407">
        <v>22</v>
      </c>
      <c r="J407">
        <v>46</v>
      </c>
      <c r="K407">
        <v>45.5</v>
      </c>
      <c r="L407">
        <v>258</v>
      </c>
      <c r="M407">
        <v>2</v>
      </c>
      <c r="N407">
        <v>100</v>
      </c>
      <c r="O407" s="2" t="str" cm="1">
        <f t="array" ref="O40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07" s="2" t="str" cm="1">
        <f t="array" ref="P407">_xlfn.IFS(Computed_insight___Success_of_active_sellers__2[[#This Row],[rating]]&gt;=4.5, "Excellent ", Computed_insight___Success_of_active_sellers__2[[#This Row],[rating]]&gt;=4, "Good ", Computed_insight___Success_of_active_sellers__2[[#This Row],[rating]]&gt;=3.5, "Average", TRUE, "Poor ")</f>
        <v xml:space="preserve">Good </v>
      </c>
      <c r="Q407" s="2" t="str" cm="1">
        <f t="array" ref="Q407">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407" s="2" t="str">
        <f>IF(Computed_insight___Success_of_active_sellers__2[[#This Row],[totalurgencycount]]&gt;0, "Has Banner", "No Banner")</f>
        <v>Has Banner</v>
      </c>
    </row>
    <row r="408" spans="1:18" x14ac:dyDescent="0.3">
      <c r="A408">
        <v>406</v>
      </c>
      <c r="B408" t="s">
        <v>678</v>
      </c>
      <c r="C408">
        <v>2</v>
      </c>
      <c r="D408">
        <v>2000</v>
      </c>
      <c r="E408">
        <v>1000</v>
      </c>
      <c r="F408">
        <v>4.3819999999999997</v>
      </c>
      <c r="G408">
        <v>13625</v>
      </c>
      <c r="H408">
        <v>7</v>
      </c>
      <c r="I408">
        <v>30</v>
      </c>
      <c r="J408">
        <v>77</v>
      </c>
      <c r="K408">
        <v>77</v>
      </c>
      <c r="L408">
        <v>179</v>
      </c>
      <c r="M408">
        <v>1</v>
      </c>
      <c r="N408">
        <v>50</v>
      </c>
      <c r="O408" s="2" t="str" cm="1">
        <f t="array" ref="O40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08" s="2" t="str" cm="1">
        <f t="array" ref="P408">_xlfn.IFS(Computed_insight___Success_of_active_sellers__2[[#This Row],[rating]]&gt;=4.5, "Excellent ", Computed_insight___Success_of_active_sellers__2[[#This Row],[rating]]&gt;=4, "Good ", Computed_insight___Success_of_active_sellers__2[[#This Row],[rating]]&gt;=3.5, "Average", TRUE, "Poor ")</f>
        <v xml:space="preserve">Good </v>
      </c>
      <c r="Q408" s="2" t="str" cm="1">
        <f t="array" ref="Q40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08" s="2" t="str">
        <f>IF(Computed_insight___Success_of_active_sellers__2[[#This Row],[totalurgencycount]]&gt;0, "Has Banner", "No Banner")</f>
        <v>Has Banner</v>
      </c>
    </row>
    <row r="409" spans="1:18" x14ac:dyDescent="0.3">
      <c r="A409">
        <v>407</v>
      </c>
      <c r="B409" t="s">
        <v>61</v>
      </c>
      <c r="C409">
        <v>2</v>
      </c>
      <c r="D409">
        <v>2000</v>
      </c>
      <c r="E409">
        <v>1000</v>
      </c>
      <c r="F409">
        <v>4.391</v>
      </c>
      <c r="G409">
        <v>6187</v>
      </c>
      <c r="H409">
        <v>5.87</v>
      </c>
      <c r="I409">
        <v>11</v>
      </c>
      <c r="J409">
        <v>47</v>
      </c>
      <c r="K409">
        <v>47</v>
      </c>
      <c r="L409">
        <v>209</v>
      </c>
      <c r="M409">
        <v>1</v>
      </c>
      <c r="N409">
        <v>50</v>
      </c>
      <c r="O409" s="2" t="str" cm="1">
        <f t="array" ref="O40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09" s="2" t="str" cm="1">
        <f t="array" ref="P409">_xlfn.IFS(Computed_insight___Success_of_active_sellers__2[[#This Row],[rating]]&gt;=4.5, "Excellent ", Computed_insight___Success_of_active_sellers__2[[#This Row],[rating]]&gt;=4, "Good ", Computed_insight___Success_of_active_sellers__2[[#This Row],[rating]]&gt;=3.5, "Average", TRUE, "Poor ")</f>
        <v xml:space="preserve">Good </v>
      </c>
      <c r="Q409" s="2" t="str" cm="1">
        <f t="array" ref="Q409">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409" s="2" t="str">
        <f>IF(Computed_insight___Success_of_active_sellers__2[[#This Row],[totalurgencycount]]&gt;0, "Has Banner", "No Banner")</f>
        <v>Has Banner</v>
      </c>
    </row>
    <row r="410" spans="1:18" x14ac:dyDescent="0.3">
      <c r="A410">
        <v>408</v>
      </c>
      <c r="B410" t="s">
        <v>95</v>
      </c>
      <c r="C410">
        <v>4</v>
      </c>
      <c r="D410">
        <v>1300</v>
      </c>
      <c r="E410">
        <v>325</v>
      </c>
      <c r="F410">
        <v>3.7290000000000001</v>
      </c>
      <c r="G410">
        <v>288</v>
      </c>
      <c r="H410">
        <v>10.25</v>
      </c>
      <c r="I410">
        <v>9</v>
      </c>
      <c r="J410">
        <v>-13</v>
      </c>
      <c r="K410">
        <v>-13</v>
      </c>
      <c r="L410">
        <v>101</v>
      </c>
      <c r="M410">
        <v>2</v>
      </c>
      <c r="N410">
        <v>50</v>
      </c>
      <c r="O410" s="2" t="str" cm="1">
        <f t="array" ref="O41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10" s="2" t="str" cm="1">
        <f t="array" ref="P410">_xlfn.IFS(Computed_insight___Success_of_active_sellers__2[[#This Row],[rating]]&gt;=4.5, "Excellent ", Computed_insight___Success_of_active_sellers__2[[#This Row],[rating]]&gt;=4, "Good ", Computed_insight___Success_of_active_sellers__2[[#This Row],[rating]]&gt;=3.5, "Average", TRUE, "Poor ")</f>
        <v>Average</v>
      </c>
      <c r="Q410" s="2" t="str" cm="1">
        <f t="array" ref="Q41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10" s="2" t="str">
        <f>IF(Computed_insight___Success_of_active_sellers__2[[#This Row],[totalurgencycount]]&gt;0, "Has Banner", "No Banner")</f>
        <v>Has Banner</v>
      </c>
    </row>
    <row r="411" spans="1:18" x14ac:dyDescent="0.3">
      <c r="A411">
        <v>409</v>
      </c>
      <c r="B411" t="s">
        <v>107</v>
      </c>
      <c r="C411">
        <v>4</v>
      </c>
      <c r="D411">
        <v>1300</v>
      </c>
      <c r="E411">
        <v>325</v>
      </c>
      <c r="F411">
        <v>3.8519999999999999</v>
      </c>
      <c r="G411">
        <v>8989</v>
      </c>
      <c r="H411">
        <v>8.5</v>
      </c>
      <c r="I411">
        <v>7.5</v>
      </c>
      <c r="J411">
        <v>-13</v>
      </c>
      <c r="K411">
        <v>-13.5</v>
      </c>
      <c r="L411">
        <v>92</v>
      </c>
      <c r="M411">
        <v>1</v>
      </c>
      <c r="N411">
        <v>25</v>
      </c>
      <c r="O411" s="2" t="str" cm="1">
        <f t="array" ref="O41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11" s="2" t="str" cm="1">
        <f t="array" ref="P411">_xlfn.IFS(Computed_insight___Success_of_active_sellers__2[[#This Row],[rating]]&gt;=4.5, "Excellent ", Computed_insight___Success_of_active_sellers__2[[#This Row],[rating]]&gt;=4, "Good ", Computed_insight___Success_of_active_sellers__2[[#This Row],[rating]]&gt;=3.5, "Average", TRUE, "Poor ")</f>
        <v>Average</v>
      </c>
      <c r="Q411" s="2" t="str" cm="1">
        <f t="array" ref="Q41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11" s="2" t="str">
        <f>IF(Computed_insight___Success_of_active_sellers__2[[#This Row],[totalurgencycount]]&gt;0, "Has Banner", "No Banner")</f>
        <v>Has Banner</v>
      </c>
    </row>
    <row r="412" spans="1:18" x14ac:dyDescent="0.3">
      <c r="A412">
        <v>410</v>
      </c>
      <c r="B412" t="s">
        <v>351</v>
      </c>
      <c r="C412">
        <v>4</v>
      </c>
      <c r="D412">
        <v>1300</v>
      </c>
      <c r="E412">
        <v>325</v>
      </c>
      <c r="F412">
        <v>3.9529999999999998</v>
      </c>
      <c r="G412">
        <v>17471</v>
      </c>
      <c r="H412">
        <v>7.37</v>
      </c>
      <c r="I412">
        <v>6.5</v>
      </c>
      <c r="J412">
        <v>-14</v>
      </c>
      <c r="K412">
        <v>-14.25</v>
      </c>
      <c r="L412">
        <v>178</v>
      </c>
      <c r="M412">
        <v>1</v>
      </c>
      <c r="N412">
        <v>25</v>
      </c>
      <c r="O412" s="2" t="str" cm="1">
        <f t="array" ref="O41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12" s="2" t="str" cm="1">
        <f t="array" ref="P412">_xlfn.IFS(Computed_insight___Success_of_active_sellers__2[[#This Row],[rating]]&gt;=4.5, "Excellent ", Computed_insight___Success_of_active_sellers__2[[#This Row],[rating]]&gt;=4, "Good ", Computed_insight___Success_of_active_sellers__2[[#This Row],[rating]]&gt;=3.5, "Average", TRUE, "Poor ")</f>
        <v>Average</v>
      </c>
      <c r="Q412" s="2" t="str" cm="1">
        <f t="array" ref="Q41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12" s="2" t="str">
        <f>IF(Computed_insight___Success_of_active_sellers__2[[#This Row],[totalurgencycount]]&gt;0, "Has Banner", "No Banner")</f>
        <v>Has Banner</v>
      </c>
    </row>
    <row r="413" spans="1:18" x14ac:dyDescent="0.3">
      <c r="A413">
        <v>411</v>
      </c>
      <c r="B413" t="s">
        <v>364</v>
      </c>
      <c r="C413">
        <v>4</v>
      </c>
      <c r="D413">
        <v>1300</v>
      </c>
      <c r="E413">
        <v>325</v>
      </c>
      <c r="F413">
        <v>4.024</v>
      </c>
      <c r="G413">
        <v>12919</v>
      </c>
      <c r="H413">
        <v>7</v>
      </c>
      <c r="I413">
        <v>6.25</v>
      </c>
      <c r="J413">
        <v>-7</v>
      </c>
      <c r="K413">
        <v>-7</v>
      </c>
      <c r="L413">
        <v>22</v>
      </c>
      <c r="M413">
        <v>1</v>
      </c>
      <c r="N413">
        <v>25</v>
      </c>
      <c r="O413" s="2" t="str" cm="1">
        <f t="array" ref="O41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13" s="2" t="str" cm="1">
        <f t="array" ref="P413">_xlfn.IFS(Computed_insight___Success_of_active_sellers__2[[#This Row],[rating]]&gt;=4.5, "Excellent ", Computed_insight___Success_of_active_sellers__2[[#This Row],[rating]]&gt;=4, "Good ", Computed_insight___Success_of_active_sellers__2[[#This Row],[rating]]&gt;=3.5, "Average", TRUE, "Poor ")</f>
        <v xml:space="preserve">Good </v>
      </c>
      <c r="Q413" s="2" t="str" cm="1">
        <f t="array" ref="Q41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13" s="2" t="str">
        <f>IF(Computed_insight___Success_of_active_sellers__2[[#This Row],[totalurgencycount]]&gt;0, "Has Banner", "No Banner")</f>
        <v>Has Banner</v>
      </c>
    </row>
    <row r="414" spans="1:18" x14ac:dyDescent="0.3">
      <c r="A414">
        <v>412</v>
      </c>
      <c r="B414" t="s">
        <v>104</v>
      </c>
      <c r="C414">
        <v>3</v>
      </c>
      <c r="D414">
        <v>1200</v>
      </c>
      <c r="E414">
        <v>400</v>
      </c>
      <c r="F414">
        <v>3.895</v>
      </c>
      <c r="G414">
        <v>26473</v>
      </c>
      <c r="H414">
        <v>8.5399999999999991</v>
      </c>
      <c r="I414">
        <v>24</v>
      </c>
      <c r="J414">
        <v>49</v>
      </c>
      <c r="K414">
        <v>48.67</v>
      </c>
      <c r="L414">
        <v>172</v>
      </c>
      <c r="M414">
        <v>1</v>
      </c>
      <c r="N414">
        <v>33</v>
      </c>
      <c r="O414" s="2" t="str" cm="1">
        <f t="array" ref="O41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14" s="2" t="str" cm="1">
        <f t="array" ref="P414">_xlfn.IFS(Computed_insight___Success_of_active_sellers__2[[#This Row],[rating]]&gt;=4.5, "Excellent ", Computed_insight___Success_of_active_sellers__2[[#This Row],[rating]]&gt;=4, "Good ", Computed_insight___Success_of_active_sellers__2[[#This Row],[rating]]&gt;=3.5, "Average", TRUE, "Poor ")</f>
        <v>Average</v>
      </c>
      <c r="Q414" s="2" t="str" cm="1">
        <f t="array" ref="Q414">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414" s="2" t="str">
        <f>IF(Computed_insight___Success_of_active_sellers__2[[#This Row],[totalurgencycount]]&gt;0, "Has Banner", "No Banner")</f>
        <v>Has Banner</v>
      </c>
    </row>
    <row r="415" spans="1:18" x14ac:dyDescent="0.3">
      <c r="A415">
        <v>413</v>
      </c>
      <c r="B415" t="s">
        <v>727</v>
      </c>
      <c r="C415">
        <v>3</v>
      </c>
      <c r="D415">
        <v>1200</v>
      </c>
      <c r="E415">
        <v>400</v>
      </c>
      <c r="F415">
        <v>3.9169999999999998</v>
      </c>
      <c r="G415">
        <v>33855</v>
      </c>
      <c r="H415">
        <v>9.26</v>
      </c>
      <c r="I415">
        <v>34</v>
      </c>
      <c r="J415">
        <v>53</v>
      </c>
      <c r="K415">
        <v>52.67</v>
      </c>
      <c r="L415">
        <v>171</v>
      </c>
      <c r="O415" s="2" t="str" cm="1">
        <f t="array" ref="O41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15" s="2" t="str" cm="1">
        <f t="array" ref="P415">_xlfn.IFS(Computed_insight___Success_of_active_sellers__2[[#This Row],[rating]]&gt;=4.5, "Excellent ", Computed_insight___Success_of_active_sellers__2[[#This Row],[rating]]&gt;=4, "Good ", Computed_insight___Success_of_active_sellers__2[[#This Row],[rating]]&gt;=3.5, "Average", TRUE, "Poor ")</f>
        <v>Average</v>
      </c>
      <c r="Q415" s="2" t="str" cm="1">
        <f t="array" ref="Q41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15" s="2" t="str">
        <f>IF(Computed_insight___Success_of_active_sellers__2[[#This Row],[totalurgencycount]]&gt;0, "Has Banner", "No Banner")</f>
        <v>No Banner</v>
      </c>
    </row>
    <row r="416" spans="1:18" x14ac:dyDescent="0.3">
      <c r="A416">
        <v>414</v>
      </c>
      <c r="B416" t="s">
        <v>238</v>
      </c>
      <c r="C416">
        <v>3</v>
      </c>
      <c r="D416">
        <v>1200</v>
      </c>
      <c r="E416">
        <v>400</v>
      </c>
      <c r="F416">
        <v>4.0330000000000004</v>
      </c>
      <c r="G416">
        <v>45151</v>
      </c>
      <c r="H416">
        <v>12.67</v>
      </c>
      <c r="I416">
        <v>11</v>
      </c>
      <c r="J416">
        <v>-15</v>
      </c>
      <c r="K416">
        <v>-15</v>
      </c>
      <c r="L416">
        <v>207</v>
      </c>
      <c r="M416">
        <v>1</v>
      </c>
      <c r="N416">
        <v>33</v>
      </c>
      <c r="O416" s="2" t="str" cm="1">
        <f t="array" ref="O41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16" s="2" t="str" cm="1">
        <f t="array" ref="P416">_xlfn.IFS(Computed_insight___Success_of_active_sellers__2[[#This Row],[rating]]&gt;=4.5, "Excellent ", Computed_insight___Success_of_active_sellers__2[[#This Row],[rating]]&gt;=4, "Good ", Computed_insight___Success_of_active_sellers__2[[#This Row],[rating]]&gt;=3.5, "Average", TRUE, "Poor ")</f>
        <v xml:space="preserve">Good </v>
      </c>
      <c r="Q416" s="2" t="str" cm="1">
        <f t="array" ref="Q41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16" s="2" t="str">
        <f>IF(Computed_insight___Success_of_active_sellers__2[[#This Row],[totalurgencycount]]&gt;0, "Has Banner", "No Banner")</f>
        <v>Has Banner</v>
      </c>
    </row>
    <row r="417" spans="1:18" x14ac:dyDescent="0.3">
      <c r="A417">
        <v>415</v>
      </c>
      <c r="B417" t="s">
        <v>236</v>
      </c>
      <c r="C417">
        <v>3</v>
      </c>
      <c r="D417">
        <v>1200</v>
      </c>
      <c r="E417">
        <v>400</v>
      </c>
      <c r="F417">
        <v>4.048</v>
      </c>
      <c r="G417">
        <v>7627</v>
      </c>
      <c r="H417">
        <v>11.22</v>
      </c>
      <c r="I417">
        <v>11</v>
      </c>
      <c r="J417">
        <v>2</v>
      </c>
      <c r="K417">
        <v>2</v>
      </c>
      <c r="L417">
        <v>182</v>
      </c>
      <c r="M417">
        <v>1</v>
      </c>
      <c r="N417">
        <v>33</v>
      </c>
      <c r="O417" s="2" t="str" cm="1">
        <f t="array" ref="O41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17" s="2" t="str" cm="1">
        <f t="array" ref="P417">_xlfn.IFS(Computed_insight___Success_of_active_sellers__2[[#This Row],[rating]]&gt;=4.5, "Excellent ", Computed_insight___Success_of_active_sellers__2[[#This Row],[rating]]&gt;=4, "Good ", Computed_insight___Success_of_active_sellers__2[[#This Row],[rating]]&gt;=3.5, "Average", TRUE, "Poor ")</f>
        <v xml:space="preserve">Good </v>
      </c>
      <c r="Q417" s="2" t="str" cm="1">
        <f t="array" ref="Q417">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417" s="2" t="str">
        <f>IF(Computed_insight___Success_of_active_sellers__2[[#This Row],[totalurgencycount]]&gt;0, "Has Banner", "No Banner")</f>
        <v>Has Banner</v>
      </c>
    </row>
    <row r="418" spans="1:18" x14ac:dyDescent="0.3">
      <c r="A418">
        <v>416</v>
      </c>
      <c r="B418" t="s">
        <v>650</v>
      </c>
      <c r="C418">
        <v>3</v>
      </c>
      <c r="D418">
        <v>1200</v>
      </c>
      <c r="E418">
        <v>400</v>
      </c>
      <c r="F418">
        <v>4.1059999999999999</v>
      </c>
      <c r="G418">
        <v>7363</v>
      </c>
      <c r="H418">
        <v>8</v>
      </c>
      <c r="I418">
        <v>9.33</v>
      </c>
      <c r="J418">
        <v>16</v>
      </c>
      <c r="K418">
        <v>15.67</v>
      </c>
      <c r="L418">
        <v>103</v>
      </c>
      <c r="O418" s="2" t="str" cm="1">
        <f t="array" ref="O41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18" s="2" t="str" cm="1">
        <f t="array" ref="P418">_xlfn.IFS(Computed_insight___Success_of_active_sellers__2[[#This Row],[rating]]&gt;=4.5, "Excellent ", Computed_insight___Success_of_active_sellers__2[[#This Row],[rating]]&gt;=4, "Good ", Computed_insight___Success_of_active_sellers__2[[#This Row],[rating]]&gt;=3.5, "Average", TRUE, "Poor ")</f>
        <v xml:space="preserve">Good </v>
      </c>
      <c r="Q418" s="2" t="str" cm="1">
        <f t="array" ref="Q418">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418" s="2" t="str">
        <f>IF(Computed_insight___Success_of_active_sellers__2[[#This Row],[totalurgencycount]]&gt;0, "Has Banner", "No Banner")</f>
        <v>No Banner</v>
      </c>
    </row>
    <row r="419" spans="1:18" x14ac:dyDescent="0.3">
      <c r="A419">
        <v>417</v>
      </c>
      <c r="B419" t="s">
        <v>225</v>
      </c>
      <c r="C419">
        <v>3</v>
      </c>
      <c r="D419">
        <v>1200</v>
      </c>
      <c r="E419">
        <v>400</v>
      </c>
      <c r="F419">
        <v>4.218</v>
      </c>
      <c r="G419">
        <v>514</v>
      </c>
      <c r="H419">
        <v>16</v>
      </c>
      <c r="I419">
        <v>14</v>
      </c>
      <c r="J419">
        <v>-14</v>
      </c>
      <c r="K419">
        <v>-14</v>
      </c>
      <c r="L419">
        <v>97</v>
      </c>
      <c r="M419">
        <v>1</v>
      </c>
      <c r="N419">
        <v>33</v>
      </c>
      <c r="O419" s="2" t="str" cm="1">
        <f t="array" ref="O41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19" s="2" t="str" cm="1">
        <f t="array" ref="P419">_xlfn.IFS(Computed_insight___Success_of_active_sellers__2[[#This Row],[rating]]&gt;=4.5, "Excellent ", Computed_insight___Success_of_active_sellers__2[[#This Row],[rating]]&gt;=4, "Good ", Computed_insight___Success_of_active_sellers__2[[#This Row],[rating]]&gt;=3.5, "Average", TRUE, "Poor ")</f>
        <v xml:space="preserve">Good </v>
      </c>
      <c r="Q419" s="2" t="str" cm="1">
        <f t="array" ref="Q41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19" s="2" t="str">
        <f>IF(Computed_insight___Success_of_active_sellers__2[[#This Row],[totalurgencycount]]&gt;0, "Has Banner", "No Banner")</f>
        <v>Has Banner</v>
      </c>
    </row>
    <row r="420" spans="1:18" x14ac:dyDescent="0.3">
      <c r="A420">
        <v>418</v>
      </c>
      <c r="B420" t="s">
        <v>647</v>
      </c>
      <c r="C420">
        <v>3</v>
      </c>
      <c r="D420">
        <v>1200</v>
      </c>
      <c r="E420">
        <v>400</v>
      </c>
      <c r="F420">
        <v>4.2350000000000003</v>
      </c>
      <c r="G420">
        <v>26833</v>
      </c>
      <c r="H420">
        <v>13</v>
      </c>
      <c r="I420">
        <v>93.33</v>
      </c>
      <c r="J420">
        <v>87</v>
      </c>
      <c r="K420">
        <v>87</v>
      </c>
      <c r="L420">
        <v>210</v>
      </c>
      <c r="O420" s="2" t="str" cm="1">
        <f t="array" ref="O42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20" s="2" t="str" cm="1">
        <f t="array" ref="P420">_xlfn.IFS(Computed_insight___Success_of_active_sellers__2[[#This Row],[rating]]&gt;=4.5, "Excellent ", Computed_insight___Success_of_active_sellers__2[[#This Row],[rating]]&gt;=4, "Good ", Computed_insight___Success_of_active_sellers__2[[#This Row],[rating]]&gt;=3.5, "Average", TRUE, "Poor ")</f>
        <v xml:space="preserve">Good </v>
      </c>
      <c r="Q420" s="2" t="str" cm="1">
        <f t="array" ref="Q42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20" s="2" t="str">
        <f>IF(Computed_insight___Success_of_active_sellers__2[[#This Row],[totalurgencycount]]&gt;0, "Has Banner", "No Banner")</f>
        <v>No Banner</v>
      </c>
    </row>
    <row r="421" spans="1:18" x14ac:dyDescent="0.3">
      <c r="A421">
        <v>419</v>
      </c>
      <c r="B421" t="s">
        <v>199</v>
      </c>
      <c r="C421">
        <v>3</v>
      </c>
      <c r="D421">
        <v>1200</v>
      </c>
      <c r="E421">
        <v>400</v>
      </c>
      <c r="F421">
        <v>4.2770000000000001</v>
      </c>
      <c r="G421">
        <v>794</v>
      </c>
      <c r="H421">
        <v>9.67</v>
      </c>
      <c r="I421">
        <v>8.67</v>
      </c>
      <c r="J421">
        <v>-12</v>
      </c>
      <c r="K421">
        <v>-12</v>
      </c>
      <c r="L421">
        <v>60</v>
      </c>
      <c r="M421">
        <v>1</v>
      </c>
      <c r="N421">
        <v>33</v>
      </c>
      <c r="O421" s="2" t="str" cm="1">
        <f t="array" ref="O42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21" s="2" t="str" cm="1">
        <f t="array" ref="P421">_xlfn.IFS(Computed_insight___Success_of_active_sellers__2[[#This Row],[rating]]&gt;=4.5, "Excellent ", Computed_insight___Success_of_active_sellers__2[[#This Row],[rating]]&gt;=4, "Good ", Computed_insight___Success_of_active_sellers__2[[#This Row],[rating]]&gt;=3.5, "Average", TRUE, "Poor ")</f>
        <v xml:space="preserve">Good </v>
      </c>
      <c r="Q421" s="2" t="str" cm="1">
        <f t="array" ref="Q42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21" s="2" t="str">
        <f>IF(Computed_insight___Success_of_active_sellers__2[[#This Row],[totalurgencycount]]&gt;0, "Has Banner", "No Banner")</f>
        <v>Has Banner</v>
      </c>
    </row>
    <row r="422" spans="1:18" x14ac:dyDescent="0.3">
      <c r="A422">
        <v>420</v>
      </c>
      <c r="B422" t="s">
        <v>220</v>
      </c>
      <c r="C422">
        <v>3</v>
      </c>
      <c r="D422">
        <v>1150</v>
      </c>
      <c r="E422">
        <v>383</v>
      </c>
      <c r="F422">
        <v>4.0389999999999997</v>
      </c>
      <c r="G422">
        <v>7676</v>
      </c>
      <c r="H422">
        <v>9.2799999999999994</v>
      </c>
      <c r="I422">
        <v>13.33</v>
      </c>
      <c r="J422">
        <v>35</v>
      </c>
      <c r="K422">
        <v>35</v>
      </c>
      <c r="L422">
        <v>90</v>
      </c>
      <c r="O422" s="2" t="str" cm="1">
        <f t="array" ref="O42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22" s="2" t="str" cm="1">
        <f t="array" ref="P422">_xlfn.IFS(Computed_insight___Success_of_active_sellers__2[[#This Row],[rating]]&gt;=4.5, "Excellent ", Computed_insight___Success_of_active_sellers__2[[#This Row],[rating]]&gt;=4, "Good ", Computed_insight___Success_of_active_sellers__2[[#This Row],[rating]]&gt;=3.5, "Average", TRUE, "Poor ")</f>
        <v xml:space="preserve">Good </v>
      </c>
      <c r="Q422" s="2" t="str" cm="1">
        <f t="array" ref="Q422">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422" s="2" t="str">
        <f>IF(Computed_insight___Success_of_active_sellers__2[[#This Row],[totalurgencycount]]&gt;0, "Has Banner", "No Banner")</f>
        <v>No Banner</v>
      </c>
    </row>
    <row r="423" spans="1:18" x14ac:dyDescent="0.3">
      <c r="A423">
        <v>421</v>
      </c>
      <c r="B423" t="s">
        <v>27</v>
      </c>
      <c r="C423">
        <v>3</v>
      </c>
      <c r="D423">
        <v>1150</v>
      </c>
      <c r="E423">
        <v>383</v>
      </c>
      <c r="F423">
        <v>4.1100000000000003</v>
      </c>
      <c r="G423">
        <v>9395</v>
      </c>
      <c r="H423">
        <v>6.67</v>
      </c>
      <c r="I423">
        <v>26.33</v>
      </c>
      <c r="J423">
        <v>76</v>
      </c>
      <c r="K423">
        <v>75.67</v>
      </c>
      <c r="L423">
        <v>206</v>
      </c>
      <c r="M423">
        <v>1</v>
      </c>
      <c r="N423">
        <v>33</v>
      </c>
      <c r="O423" s="2" t="str" cm="1">
        <f t="array" ref="O42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23" s="2" t="str" cm="1">
        <f t="array" ref="P423">_xlfn.IFS(Computed_insight___Success_of_active_sellers__2[[#This Row],[rating]]&gt;=4.5, "Excellent ", Computed_insight___Success_of_active_sellers__2[[#This Row],[rating]]&gt;=4, "Good ", Computed_insight___Success_of_active_sellers__2[[#This Row],[rating]]&gt;=3.5, "Average", TRUE, "Poor ")</f>
        <v xml:space="preserve">Good </v>
      </c>
      <c r="Q423" s="2" t="str" cm="1">
        <f t="array" ref="Q42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23" s="2" t="str">
        <f>IF(Computed_insight___Success_of_active_sellers__2[[#This Row],[totalurgencycount]]&gt;0, "Has Banner", "No Banner")</f>
        <v>Has Banner</v>
      </c>
    </row>
    <row r="424" spans="1:18" x14ac:dyDescent="0.3">
      <c r="A424">
        <v>422</v>
      </c>
      <c r="B424" t="s">
        <v>161</v>
      </c>
      <c r="C424">
        <v>2</v>
      </c>
      <c r="D424">
        <v>1100</v>
      </c>
      <c r="E424">
        <v>550</v>
      </c>
      <c r="F424">
        <v>3.7360000000000002</v>
      </c>
      <c r="G424">
        <v>1452</v>
      </c>
      <c r="H424">
        <v>11.5</v>
      </c>
      <c r="I424">
        <v>10.5</v>
      </c>
      <c r="J424">
        <v>-9</v>
      </c>
      <c r="K424">
        <v>-9.5</v>
      </c>
      <c r="L424">
        <v>103</v>
      </c>
      <c r="O424" s="2" t="str" cm="1">
        <f t="array" ref="O42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24" s="2" t="str" cm="1">
        <f t="array" ref="P424">_xlfn.IFS(Computed_insight___Success_of_active_sellers__2[[#This Row],[rating]]&gt;=4.5, "Excellent ", Computed_insight___Success_of_active_sellers__2[[#This Row],[rating]]&gt;=4, "Good ", Computed_insight___Success_of_active_sellers__2[[#This Row],[rating]]&gt;=3.5, "Average", TRUE, "Poor ")</f>
        <v>Average</v>
      </c>
      <c r="Q424" s="2" t="str" cm="1">
        <f t="array" ref="Q42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24" s="2" t="str">
        <f>IF(Computed_insight___Success_of_active_sellers__2[[#This Row],[totalurgencycount]]&gt;0, "Has Banner", "No Banner")</f>
        <v>No Banner</v>
      </c>
    </row>
    <row r="425" spans="1:18" x14ac:dyDescent="0.3">
      <c r="A425">
        <v>423</v>
      </c>
      <c r="B425" t="s">
        <v>74</v>
      </c>
      <c r="C425">
        <v>2</v>
      </c>
      <c r="D425">
        <v>1100</v>
      </c>
      <c r="E425">
        <v>550</v>
      </c>
      <c r="F425">
        <v>3.8380000000000001</v>
      </c>
      <c r="G425">
        <v>2055</v>
      </c>
      <c r="H425">
        <v>7.5</v>
      </c>
      <c r="I425">
        <v>6.5</v>
      </c>
      <c r="J425">
        <v>-15</v>
      </c>
      <c r="K425">
        <v>-15</v>
      </c>
      <c r="L425">
        <v>93</v>
      </c>
      <c r="M425">
        <v>1</v>
      </c>
      <c r="N425">
        <v>50</v>
      </c>
      <c r="O425" s="2" t="str" cm="1">
        <f t="array" ref="O42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25" s="2" t="str" cm="1">
        <f t="array" ref="P425">_xlfn.IFS(Computed_insight___Success_of_active_sellers__2[[#This Row],[rating]]&gt;=4.5, "Excellent ", Computed_insight___Success_of_active_sellers__2[[#This Row],[rating]]&gt;=4, "Good ", Computed_insight___Success_of_active_sellers__2[[#This Row],[rating]]&gt;=3.5, "Average", TRUE, "Poor ")</f>
        <v>Average</v>
      </c>
      <c r="Q425" s="2" t="str" cm="1">
        <f t="array" ref="Q42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25" s="2" t="str">
        <f>IF(Computed_insight___Success_of_active_sellers__2[[#This Row],[totalurgencycount]]&gt;0, "Has Banner", "No Banner")</f>
        <v>Has Banner</v>
      </c>
    </row>
    <row r="426" spans="1:18" x14ac:dyDescent="0.3">
      <c r="A426">
        <v>424</v>
      </c>
      <c r="B426" t="s">
        <v>807</v>
      </c>
      <c r="C426">
        <v>2</v>
      </c>
      <c r="D426">
        <v>1100</v>
      </c>
      <c r="E426">
        <v>550</v>
      </c>
      <c r="F426">
        <v>3.867</v>
      </c>
      <c r="G426">
        <v>12134</v>
      </c>
      <c r="H426">
        <v>6.46</v>
      </c>
      <c r="I426">
        <v>5.5</v>
      </c>
      <c r="J426">
        <v>-17</v>
      </c>
      <c r="K426">
        <v>-17</v>
      </c>
      <c r="L426">
        <v>243</v>
      </c>
      <c r="M426">
        <v>1</v>
      </c>
      <c r="N426">
        <v>50</v>
      </c>
      <c r="O426" s="2" t="str" cm="1">
        <f t="array" ref="O42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26" s="2" t="str" cm="1">
        <f t="array" ref="P426">_xlfn.IFS(Computed_insight___Success_of_active_sellers__2[[#This Row],[rating]]&gt;=4.5, "Excellent ", Computed_insight___Success_of_active_sellers__2[[#This Row],[rating]]&gt;=4, "Good ", Computed_insight___Success_of_active_sellers__2[[#This Row],[rating]]&gt;=3.5, "Average", TRUE, "Poor ")</f>
        <v>Average</v>
      </c>
      <c r="Q426" s="2" t="str" cm="1">
        <f t="array" ref="Q42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26" s="2" t="str">
        <f>IF(Computed_insight___Success_of_active_sellers__2[[#This Row],[totalurgencycount]]&gt;0, "Has Banner", "No Banner")</f>
        <v>Has Banner</v>
      </c>
    </row>
    <row r="427" spans="1:18" x14ac:dyDescent="0.3">
      <c r="A427">
        <v>425</v>
      </c>
      <c r="B427" t="s">
        <v>819</v>
      </c>
      <c r="C427">
        <v>2</v>
      </c>
      <c r="D427">
        <v>1100</v>
      </c>
      <c r="E427">
        <v>550</v>
      </c>
      <c r="F427">
        <v>3.871</v>
      </c>
      <c r="G427">
        <v>5175</v>
      </c>
      <c r="H427">
        <v>9.5</v>
      </c>
      <c r="I427">
        <v>8.5</v>
      </c>
      <c r="J427">
        <v>-12</v>
      </c>
      <c r="K427">
        <v>-12</v>
      </c>
      <c r="L427">
        <v>158</v>
      </c>
      <c r="O427" s="2" t="str" cm="1">
        <f t="array" ref="O42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27" s="2" t="str" cm="1">
        <f t="array" ref="P427">_xlfn.IFS(Computed_insight___Success_of_active_sellers__2[[#This Row],[rating]]&gt;=4.5, "Excellent ", Computed_insight___Success_of_active_sellers__2[[#This Row],[rating]]&gt;=4, "Good ", Computed_insight___Success_of_active_sellers__2[[#This Row],[rating]]&gt;=3.5, "Average", TRUE, "Poor ")</f>
        <v>Average</v>
      </c>
      <c r="Q427" s="2" t="str" cm="1">
        <f t="array" ref="Q42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27" s="2" t="str">
        <f>IF(Computed_insight___Success_of_active_sellers__2[[#This Row],[totalurgencycount]]&gt;0, "Has Banner", "No Banner")</f>
        <v>No Banner</v>
      </c>
    </row>
    <row r="428" spans="1:18" x14ac:dyDescent="0.3">
      <c r="A428">
        <v>426</v>
      </c>
      <c r="B428" t="s">
        <v>715</v>
      </c>
      <c r="C428">
        <v>2</v>
      </c>
      <c r="D428">
        <v>1100</v>
      </c>
      <c r="E428">
        <v>550</v>
      </c>
      <c r="F428">
        <v>3.992</v>
      </c>
      <c r="G428">
        <v>484</v>
      </c>
      <c r="H428">
        <v>1.77</v>
      </c>
      <c r="I428">
        <v>5.5</v>
      </c>
      <c r="J428">
        <v>46</v>
      </c>
      <c r="K428">
        <v>45.5</v>
      </c>
      <c r="L428">
        <v>62</v>
      </c>
      <c r="M428">
        <v>1</v>
      </c>
      <c r="N428">
        <v>50</v>
      </c>
      <c r="O428" s="2" t="str" cm="1">
        <f t="array" ref="O42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28" s="2" t="str" cm="1">
        <f t="array" ref="P428">_xlfn.IFS(Computed_insight___Success_of_active_sellers__2[[#This Row],[rating]]&gt;=4.5, "Excellent ", Computed_insight___Success_of_active_sellers__2[[#This Row],[rating]]&gt;=4, "Good ", Computed_insight___Success_of_active_sellers__2[[#This Row],[rating]]&gt;=3.5, "Average", TRUE, "Poor ")</f>
        <v>Average</v>
      </c>
      <c r="Q428" s="2" t="str" cm="1">
        <f t="array" ref="Q428">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428" s="2" t="str">
        <f>IF(Computed_insight___Success_of_active_sellers__2[[#This Row],[totalurgencycount]]&gt;0, "Has Banner", "No Banner")</f>
        <v>Has Banner</v>
      </c>
    </row>
    <row r="429" spans="1:18" x14ac:dyDescent="0.3">
      <c r="A429">
        <v>427</v>
      </c>
      <c r="B429" t="s">
        <v>628</v>
      </c>
      <c r="C429">
        <v>2</v>
      </c>
      <c r="D429">
        <v>1100</v>
      </c>
      <c r="E429">
        <v>550</v>
      </c>
      <c r="F429">
        <v>4.0069999999999997</v>
      </c>
      <c r="G429">
        <v>1373</v>
      </c>
      <c r="H429">
        <v>1.8</v>
      </c>
      <c r="I429">
        <v>25.5</v>
      </c>
      <c r="J429">
        <v>94</v>
      </c>
      <c r="K429">
        <v>93.5</v>
      </c>
      <c r="L429">
        <v>22</v>
      </c>
      <c r="M429">
        <v>1</v>
      </c>
      <c r="N429">
        <v>50</v>
      </c>
      <c r="O429" s="2" t="str" cm="1">
        <f t="array" ref="O42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29" s="2" t="str" cm="1">
        <f t="array" ref="P429">_xlfn.IFS(Computed_insight___Success_of_active_sellers__2[[#This Row],[rating]]&gt;=4.5, "Excellent ", Computed_insight___Success_of_active_sellers__2[[#This Row],[rating]]&gt;=4, "Good ", Computed_insight___Success_of_active_sellers__2[[#This Row],[rating]]&gt;=3.5, "Average", TRUE, "Poor ")</f>
        <v xml:space="preserve">Good </v>
      </c>
      <c r="Q429" s="2" t="str" cm="1">
        <f t="array" ref="Q42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29" s="2" t="str">
        <f>IF(Computed_insight___Success_of_active_sellers__2[[#This Row],[totalurgencycount]]&gt;0, "Has Banner", "No Banner")</f>
        <v>Has Banner</v>
      </c>
    </row>
    <row r="430" spans="1:18" x14ac:dyDescent="0.3">
      <c r="A430">
        <v>428</v>
      </c>
      <c r="B430" t="s">
        <v>38</v>
      </c>
      <c r="C430">
        <v>2</v>
      </c>
      <c r="D430">
        <v>1100</v>
      </c>
      <c r="E430">
        <v>550</v>
      </c>
      <c r="F430">
        <v>4.0250000000000004</v>
      </c>
      <c r="G430">
        <v>47981</v>
      </c>
      <c r="H430">
        <v>8</v>
      </c>
      <c r="I430">
        <v>29.5</v>
      </c>
      <c r="J430">
        <v>67</v>
      </c>
      <c r="K430">
        <v>67</v>
      </c>
      <c r="L430">
        <v>229</v>
      </c>
      <c r="O430" s="2" t="str" cm="1">
        <f t="array" ref="O43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30" s="2" t="str" cm="1">
        <f t="array" ref="P430">_xlfn.IFS(Computed_insight___Success_of_active_sellers__2[[#This Row],[rating]]&gt;=4.5, "Excellent ", Computed_insight___Success_of_active_sellers__2[[#This Row],[rating]]&gt;=4, "Good ", Computed_insight___Success_of_active_sellers__2[[#This Row],[rating]]&gt;=3.5, "Average", TRUE, "Poor ")</f>
        <v xml:space="preserve">Good </v>
      </c>
      <c r="Q430" s="2" t="str" cm="1">
        <f t="array" ref="Q43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30" s="2" t="str">
        <f>IF(Computed_insight___Success_of_active_sellers__2[[#This Row],[totalurgencycount]]&gt;0, "Has Banner", "No Banner")</f>
        <v>No Banner</v>
      </c>
    </row>
    <row r="431" spans="1:18" x14ac:dyDescent="0.3">
      <c r="A431">
        <v>429</v>
      </c>
      <c r="B431" t="s">
        <v>93</v>
      </c>
      <c r="C431">
        <v>2</v>
      </c>
      <c r="D431">
        <v>1100</v>
      </c>
      <c r="E431">
        <v>550</v>
      </c>
      <c r="F431">
        <v>4.0389999999999997</v>
      </c>
      <c r="G431">
        <v>1559</v>
      </c>
      <c r="H431">
        <v>5.35</v>
      </c>
      <c r="I431">
        <v>5</v>
      </c>
      <c r="J431">
        <v>-4</v>
      </c>
      <c r="K431">
        <v>-4</v>
      </c>
      <c r="L431">
        <v>109</v>
      </c>
      <c r="M431">
        <v>1</v>
      </c>
      <c r="N431">
        <v>50</v>
      </c>
      <c r="O431" s="2" t="str" cm="1">
        <f t="array" ref="O43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31" s="2" t="str" cm="1">
        <f t="array" ref="P431">_xlfn.IFS(Computed_insight___Success_of_active_sellers__2[[#This Row],[rating]]&gt;=4.5, "Excellent ", Computed_insight___Success_of_active_sellers__2[[#This Row],[rating]]&gt;=4, "Good ", Computed_insight___Success_of_active_sellers__2[[#This Row],[rating]]&gt;=3.5, "Average", TRUE, "Poor ")</f>
        <v xml:space="preserve">Good </v>
      </c>
      <c r="Q431" s="2" t="str" cm="1">
        <f t="array" ref="Q43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31" s="2" t="str">
        <f>IF(Computed_insight___Success_of_active_sellers__2[[#This Row],[totalurgencycount]]&gt;0, "Has Banner", "No Banner")</f>
        <v>Has Banner</v>
      </c>
    </row>
    <row r="432" spans="1:18" x14ac:dyDescent="0.3">
      <c r="A432">
        <v>430</v>
      </c>
      <c r="B432" t="s">
        <v>478</v>
      </c>
      <c r="C432">
        <v>2</v>
      </c>
      <c r="D432">
        <v>1100</v>
      </c>
      <c r="E432">
        <v>550</v>
      </c>
      <c r="F432">
        <v>4.0540000000000003</v>
      </c>
      <c r="G432">
        <v>9857</v>
      </c>
      <c r="H432">
        <v>5.33</v>
      </c>
      <c r="I432">
        <v>5</v>
      </c>
      <c r="J432">
        <v>-6</v>
      </c>
      <c r="K432">
        <v>-6.5</v>
      </c>
      <c r="L432">
        <v>131</v>
      </c>
      <c r="M432">
        <v>1</v>
      </c>
      <c r="N432">
        <v>50</v>
      </c>
      <c r="O432" s="2" t="str" cm="1">
        <f t="array" ref="O43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32" s="2" t="str" cm="1">
        <f t="array" ref="P432">_xlfn.IFS(Computed_insight___Success_of_active_sellers__2[[#This Row],[rating]]&gt;=4.5, "Excellent ", Computed_insight___Success_of_active_sellers__2[[#This Row],[rating]]&gt;=4, "Good ", Computed_insight___Success_of_active_sellers__2[[#This Row],[rating]]&gt;=3.5, "Average", TRUE, "Poor ")</f>
        <v xml:space="preserve">Good </v>
      </c>
      <c r="Q432" s="2" t="str" cm="1">
        <f t="array" ref="Q43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32" s="2" t="str">
        <f>IF(Computed_insight___Success_of_active_sellers__2[[#This Row],[totalurgencycount]]&gt;0, "Has Banner", "No Banner")</f>
        <v>Has Banner</v>
      </c>
    </row>
    <row r="433" spans="1:18" x14ac:dyDescent="0.3">
      <c r="A433">
        <v>431</v>
      </c>
      <c r="B433" t="s">
        <v>642</v>
      </c>
      <c r="C433">
        <v>2</v>
      </c>
      <c r="D433">
        <v>1100</v>
      </c>
      <c r="E433">
        <v>550</v>
      </c>
      <c r="F433">
        <v>4.0940000000000003</v>
      </c>
      <c r="G433">
        <v>11401</v>
      </c>
      <c r="H433">
        <v>7</v>
      </c>
      <c r="I433">
        <v>28.5</v>
      </c>
      <c r="J433">
        <v>40</v>
      </c>
      <c r="K433">
        <v>40</v>
      </c>
      <c r="L433">
        <v>69</v>
      </c>
      <c r="M433">
        <v>1</v>
      </c>
      <c r="N433">
        <v>50</v>
      </c>
      <c r="O433" s="2" t="str" cm="1">
        <f t="array" ref="O43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33" s="2" t="str" cm="1">
        <f t="array" ref="P433">_xlfn.IFS(Computed_insight___Success_of_active_sellers__2[[#This Row],[rating]]&gt;=4.5, "Excellent ", Computed_insight___Success_of_active_sellers__2[[#This Row],[rating]]&gt;=4, "Good ", Computed_insight___Success_of_active_sellers__2[[#This Row],[rating]]&gt;=3.5, "Average", TRUE, "Poor ")</f>
        <v xml:space="preserve">Good </v>
      </c>
      <c r="Q433" s="2" t="str" cm="1">
        <f t="array" ref="Q433">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433" s="2" t="str">
        <f>IF(Computed_insight___Success_of_active_sellers__2[[#This Row],[totalurgencycount]]&gt;0, "Has Banner", "No Banner")</f>
        <v>Has Banner</v>
      </c>
    </row>
    <row r="434" spans="1:18" x14ac:dyDescent="0.3">
      <c r="A434">
        <v>432</v>
      </c>
      <c r="B434" t="s">
        <v>610</v>
      </c>
      <c r="C434">
        <v>2</v>
      </c>
      <c r="D434">
        <v>1100</v>
      </c>
      <c r="E434">
        <v>550</v>
      </c>
      <c r="F434">
        <v>4.1890000000000001</v>
      </c>
      <c r="G434">
        <v>2707</v>
      </c>
      <c r="H434">
        <v>4.43</v>
      </c>
      <c r="I434">
        <v>4.5</v>
      </c>
      <c r="J434">
        <v>2</v>
      </c>
      <c r="K434">
        <v>1.5</v>
      </c>
      <c r="L434">
        <v>101</v>
      </c>
      <c r="O434" s="2" t="str" cm="1">
        <f t="array" ref="O43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34" s="2" t="str" cm="1">
        <f t="array" ref="P434">_xlfn.IFS(Computed_insight___Success_of_active_sellers__2[[#This Row],[rating]]&gt;=4.5, "Excellent ", Computed_insight___Success_of_active_sellers__2[[#This Row],[rating]]&gt;=4, "Good ", Computed_insight___Success_of_active_sellers__2[[#This Row],[rating]]&gt;=3.5, "Average", TRUE, "Poor ")</f>
        <v xml:space="preserve">Good </v>
      </c>
      <c r="Q434" s="2" t="str" cm="1">
        <f t="array" ref="Q434">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434" s="2" t="str">
        <f>IF(Computed_insight___Success_of_active_sellers__2[[#This Row],[totalurgencycount]]&gt;0, "Has Banner", "No Banner")</f>
        <v>No Banner</v>
      </c>
    </row>
    <row r="435" spans="1:18" x14ac:dyDescent="0.3">
      <c r="A435">
        <v>433</v>
      </c>
      <c r="B435" t="s">
        <v>350</v>
      </c>
      <c r="C435">
        <v>2</v>
      </c>
      <c r="D435">
        <v>1100</v>
      </c>
      <c r="E435">
        <v>550</v>
      </c>
      <c r="F435">
        <v>4.234</v>
      </c>
      <c r="G435">
        <v>15551</v>
      </c>
      <c r="H435">
        <v>14</v>
      </c>
      <c r="I435">
        <v>95.5</v>
      </c>
      <c r="J435">
        <v>86</v>
      </c>
      <c r="K435">
        <v>85.5</v>
      </c>
      <c r="L435">
        <v>115</v>
      </c>
      <c r="M435">
        <v>1</v>
      </c>
      <c r="N435">
        <v>50</v>
      </c>
      <c r="O435" s="2" t="str" cm="1">
        <f t="array" ref="O43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35" s="2" t="str" cm="1">
        <f t="array" ref="P435">_xlfn.IFS(Computed_insight___Success_of_active_sellers__2[[#This Row],[rating]]&gt;=4.5, "Excellent ", Computed_insight___Success_of_active_sellers__2[[#This Row],[rating]]&gt;=4, "Good ", Computed_insight___Success_of_active_sellers__2[[#This Row],[rating]]&gt;=3.5, "Average", TRUE, "Poor ")</f>
        <v xml:space="preserve">Good </v>
      </c>
      <c r="Q435" s="2" t="str" cm="1">
        <f t="array" ref="Q43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35" s="2" t="str">
        <f>IF(Computed_insight___Success_of_active_sellers__2[[#This Row],[totalurgencycount]]&gt;0, "Has Banner", "No Banner")</f>
        <v>Has Banner</v>
      </c>
    </row>
    <row r="436" spans="1:18" x14ac:dyDescent="0.3">
      <c r="A436">
        <v>434</v>
      </c>
      <c r="B436" t="s">
        <v>205</v>
      </c>
      <c r="C436">
        <v>2</v>
      </c>
      <c r="D436">
        <v>1100</v>
      </c>
      <c r="E436">
        <v>550</v>
      </c>
      <c r="F436">
        <v>4.2530000000000001</v>
      </c>
      <c r="G436">
        <v>104269</v>
      </c>
      <c r="H436">
        <v>11.5</v>
      </c>
      <c r="I436">
        <v>87.5</v>
      </c>
      <c r="J436">
        <v>88</v>
      </c>
      <c r="K436">
        <v>87.5</v>
      </c>
      <c r="L436">
        <v>375</v>
      </c>
      <c r="O436" s="2" t="str" cm="1">
        <f t="array" ref="O43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36" s="2" t="str" cm="1">
        <f t="array" ref="P436">_xlfn.IFS(Computed_insight___Success_of_active_sellers__2[[#This Row],[rating]]&gt;=4.5, "Excellent ", Computed_insight___Success_of_active_sellers__2[[#This Row],[rating]]&gt;=4, "Good ", Computed_insight___Success_of_active_sellers__2[[#This Row],[rating]]&gt;=3.5, "Average", TRUE, "Poor ")</f>
        <v xml:space="preserve">Good </v>
      </c>
      <c r="Q436" s="2" t="str" cm="1">
        <f t="array" ref="Q43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36" s="2" t="str">
        <f>IF(Computed_insight___Success_of_active_sellers__2[[#This Row],[totalurgencycount]]&gt;0, "Has Banner", "No Banner")</f>
        <v>No Banner</v>
      </c>
    </row>
    <row r="437" spans="1:18" x14ac:dyDescent="0.3">
      <c r="A437">
        <v>435</v>
      </c>
      <c r="B437" t="s">
        <v>310</v>
      </c>
      <c r="C437">
        <v>2</v>
      </c>
      <c r="D437">
        <v>1050</v>
      </c>
      <c r="E437">
        <v>525</v>
      </c>
      <c r="F437">
        <v>4.0030000000000001</v>
      </c>
      <c r="G437">
        <v>4773</v>
      </c>
      <c r="H437">
        <v>8.5</v>
      </c>
      <c r="I437">
        <v>59</v>
      </c>
      <c r="J437">
        <v>85</v>
      </c>
      <c r="K437">
        <v>85</v>
      </c>
      <c r="L437">
        <v>25</v>
      </c>
      <c r="M437">
        <v>1</v>
      </c>
      <c r="N437">
        <v>50</v>
      </c>
      <c r="O437" s="2" t="str" cm="1">
        <f t="array" ref="O43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37" s="2" t="str" cm="1">
        <f t="array" ref="P437">_xlfn.IFS(Computed_insight___Success_of_active_sellers__2[[#This Row],[rating]]&gt;=4.5, "Excellent ", Computed_insight___Success_of_active_sellers__2[[#This Row],[rating]]&gt;=4, "Good ", Computed_insight___Success_of_active_sellers__2[[#This Row],[rating]]&gt;=3.5, "Average", TRUE, "Poor ")</f>
        <v xml:space="preserve">Good </v>
      </c>
      <c r="Q437" s="2" t="str" cm="1">
        <f t="array" ref="Q43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37" s="2" t="str">
        <f>IF(Computed_insight___Success_of_active_sellers__2[[#This Row],[totalurgencycount]]&gt;0, "Has Banner", "No Banner")</f>
        <v>Has Banner</v>
      </c>
    </row>
    <row r="438" spans="1:18" x14ac:dyDescent="0.3">
      <c r="A438">
        <v>436</v>
      </c>
      <c r="B438" t="s">
        <v>822</v>
      </c>
      <c r="C438">
        <v>1</v>
      </c>
      <c r="D438">
        <v>1000</v>
      </c>
      <c r="E438">
        <v>1000</v>
      </c>
      <c r="F438">
        <v>3.5830000000000002</v>
      </c>
      <c r="G438">
        <v>3809</v>
      </c>
      <c r="H438">
        <v>5</v>
      </c>
      <c r="I438">
        <v>22</v>
      </c>
      <c r="J438">
        <v>78</v>
      </c>
      <c r="K438">
        <v>78</v>
      </c>
      <c r="L438">
        <v>395</v>
      </c>
      <c r="O438" s="2" t="str" cm="1">
        <f t="array" ref="O43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38" s="2" t="str" cm="1">
        <f t="array" ref="P438">_xlfn.IFS(Computed_insight___Success_of_active_sellers__2[[#This Row],[rating]]&gt;=4.5, "Excellent ", Computed_insight___Success_of_active_sellers__2[[#This Row],[rating]]&gt;=4, "Good ", Computed_insight___Success_of_active_sellers__2[[#This Row],[rating]]&gt;=3.5, "Average", TRUE, "Poor ")</f>
        <v>Average</v>
      </c>
      <c r="Q438" s="2" t="str" cm="1">
        <f t="array" ref="Q43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38" s="2" t="str">
        <f>IF(Computed_insight___Success_of_active_sellers__2[[#This Row],[totalurgencycount]]&gt;0, "Has Banner", "No Banner")</f>
        <v>No Banner</v>
      </c>
    </row>
    <row r="439" spans="1:18" x14ac:dyDescent="0.3">
      <c r="A439">
        <v>437</v>
      </c>
      <c r="B439" t="s">
        <v>827</v>
      </c>
      <c r="C439">
        <v>1</v>
      </c>
      <c r="D439">
        <v>1000</v>
      </c>
      <c r="E439">
        <v>1000</v>
      </c>
      <c r="F439">
        <v>3.59</v>
      </c>
      <c r="G439">
        <v>82219</v>
      </c>
      <c r="H439">
        <v>9</v>
      </c>
      <c r="I439">
        <v>9</v>
      </c>
      <c r="J439">
        <v>0</v>
      </c>
      <c r="K439">
        <v>0</v>
      </c>
      <c r="L439">
        <v>300</v>
      </c>
      <c r="O439" s="2" t="str" cm="1">
        <f t="array" ref="O43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39" s="2" t="str" cm="1">
        <f t="array" ref="P439">_xlfn.IFS(Computed_insight___Success_of_active_sellers__2[[#This Row],[rating]]&gt;=4.5, "Excellent ", Computed_insight___Success_of_active_sellers__2[[#This Row],[rating]]&gt;=4, "Good ", Computed_insight___Success_of_active_sellers__2[[#This Row],[rating]]&gt;=3.5, "Average", TRUE, "Poor ")</f>
        <v>Average</v>
      </c>
      <c r="Q439" s="2" t="str" cm="1">
        <f t="array" ref="Q43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39" s="2" t="str">
        <f>IF(Computed_insight___Success_of_active_sellers__2[[#This Row],[totalurgencycount]]&gt;0, "Has Banner", "No Banner")</f>
        <v>No Banner</v>
      </c>
    </row>
    <row r="440" spans="1:18" x14ac:dyDescent="0.3">
      <c r="A440">
        <v>438</v>
      </c>
      <c r="B440" t="s">
        <v>957</v>
      </c>
      <c r="C440">
        <v>1</v>
      </c>
      <c r="D440">
        <v>1000</v>
      </c>
      <c r="E440">
        <v>1000</v>
      </c>
      <c r="F440">
        <v>3.6259999999999999</v>
      </c>
      <c r="G440">
        <v>265</v>
      </c>
      <c r="H440">
        <v>3.87</v>
      </c>
      <c r="I440">
        <v>4</v>
      </c>
      <c r="J440">
        <v>4</v>
      </c>
      <c r="K440">
        <v>4</v>
      </c>
      <c r="L440">
        <v>62</v>
      </c>
      <c r="M440">
        <v>1</v>
      </c>
      <c r="N440">
        <v>100</v>
      </c>
      <c r="O440" s="2" t="str" cm="1">
        <f t="array" ref="O44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40" s="2" t="str" cm="1">
        <f t="array" ref="P440">_xlfn.IFS(Computed_insight___Success_of_active_sellers__2[[#This Row],[rating]]&gt;=4.5, "Excellent ", Computed_insight___Success_of_active_sellers__2[[#This Row],[rating]]&gt;=4, "Good ", Computed_insight___Success_of_active_sellers__2[[#This Row],[rating]]&gt;=3.5, "Average", TRUE, "Poor ")</f>
        <v>Average</v>
      </c>
      <c r="Q440" s="2" t="str" cm="1">
        <f t="array" ref="Q440">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440" s="2" t="str">
        <f>IF(Computed_insight___Success_of_active_sellers__2[[#This Row],[totalurgencycount]]&gt;0, "Has Banner", "No Banner")</f>
        <v>Has Banner</v>
      </c>
    </row>
    <row r="441" spans="1:18" x14ac:dyDescent="0.3">
      <c r="A441">
        <v>439</v>
      </c>
      <c r="B441" t="s">
        <v>9</v>
      </c>
      <c r="C441">
        <v>1</v>
      </c>
      <c r="D441">
        <v>1000</v>
      </c>
      <c r="E441">
        <v>1000</v>
      </c>
      <c r="F441">
        <v>3.681</v>
      </c>
      <c r="G441">
        <v>342</v>
      </c>
      <c r="H441">
        <v>12</v>
      </c>
      <c r="I441">
        <v>11</v>
      </c>
      <c r="J441">
        <v>-9</v>
      </c>
      <c r="K441">
        <v>-9</v>
      </c>
      <c r="L441">
        <v>286</v>
      </c>
      <c r="O441" s="2" t="str" cm="1">
        <f t="array" ref="O44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41" s="2" t="str" cm="1">
        <f t="array" ref="P441">_xlfn.IFS(Computed_insight___Success_of_active_sellers__2[[#This Row],[rating]]&gt;=4.5, "Excellent ", Computed_insight___Success_of_active_sellers__2[[#This Row],[rating]]&gt;=4, "Good ", Computed_insight___Success_of_active_sellers__2[[#This Row],[rating]]&gt;=3.5, "Average", TRUE, "Poor ")</f>
        <v>Average</v>
      </c>
      <c r="Q441" s="2" t="str" cm="1">
        <f t="array" ref="Q44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41" s="2" t="str">
        <f>IF(Computed_insight___Success_of_active_sellers__2[[#This Row],[totalurgencycount]]&gt;0, "Has Banner", "No Banner")</f>
        <v>No Banner</v>
      </c>
    </row>
    <row r="442" spans="1:18" x14ac:dyDescent="0.3">
      <c r="A442">
        <v>440</v>
      </c>
      <c r="B442" t="s">
        <v>890</v>
      </c>
      <c r="C442">
        <v>1</v>
      </c>
      <c r="D442">
        <v>1000</v>
      </c>
      <c r="E442">
        <v>1000</v>
      </c>
      <c r="F442">
        <v>3.6829999999999998</v>
      </c>
      <c r="G442">
        <v>104</v>
      </c>
      <c r="H442">
        <v>11</v>
      </c>
      <c r="I442">
        <v>75</v>
      </c>
      <c r="J442">
        <v>86</v>
      </c>
      <c r="K442">
        <v>86</v>
      </c>
      <c r="L442">
        <v>70</v>
      </c>
      <c r="O442" s="2" t="str" cm="1">
        <f t="array" ref="O44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42" s="2" t="str" cm="1">
        <f t="array" ref="P442">_xlfn.IFS(Computed_insight___Success_of_active_sellers__2[[#This Row],[rating]]&gt;=4.5, "Excellent ", Computed_insight___Success_of_active_sellers__2[[#This Row],[rating]]&gt;=4, "Good ", Computed_insight___Success_of_active_sellers__2[[#This Row],[rating]]&gt;=3.5, "Average", TRUE, "Poor ")</f>
        <v>Average</v>
      </c>
      <c r="Q442" s="2" t="str" cm="1">
        <f t="array" ref="Q44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42" s="2" t="str">
        <f>IF(Computed_insight___Success_of_active_sellers__2[[#This Row],[totalurgencycount]]&gt;0, "Has Banner", "No Banner")</f>
        <v>No Banner</v>
      </c>
    </row>
    <row r="443" spans="1:18" x14ac:dyDescent="0.3">
      <c r="A443">
        <v>441</v>
      </c>
      <c r="B443" t="s">
        <v>874</v>
      </c>
      <c r="C443">
        <v>1</v>
      </c>
      <c r="D443">
        <v>1000</v>
      </c>
      <c r="E443">
        <v>1000</v>
      </c>
      <c r="F443">
        <v>3.7029999999999998</v>
      </c>
      <c r="G443">
        <v>626</v>
      </c>
      <c r="H443">
        <v>11</v>
      </c>
      <c r="I443">
        <v>83</v>
      </c>
      <c r="J443">
        <v>87</v>
      </c>
      <c r="K443">
        <v>87</v>
      </c>
      <c r="L443">
        <v>118</v>
      </c>
      <c r="O443" s="2" t="str" cm="1">
        <f t="array" ref="O44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43" s="2" t="str" cm="1">
        <f t="array" ref="P443">_xlfn.IFS(Computed_insight___Success_of_active_sellers__2[[#This Row],[rating]]&gt;=4.5, "Excellent ", Computed_insight___Success_of_active_sellers__2[[#This Row],[rating]]&gt;=4, "Good ", Computed_insight___Success_of_active_sellers__2[[#This Row],[rating]]&gt;=3.5, "Average", TRUE, "Poor ")</f>
        <v>Average</v>
      </c>
      <c r="Q443" s="2" t="str" cm="1">
        <f t="array" ref="Q44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43" s="2" t="str">
        <f>IF(Computed_insight___Success_of_active_sellers__2[[#This Row],[totalurgencycount]]&gt;0, "Has Banner", "No Banner")</f>
        <v>No Banner</v>
      </c>
    </row>
    <row r="444" spans="1:18" x14ac:dyDescent="0.3">
      <c r="A444">
        <v>442</v>
      </c>
      <c r="B444" t="s">
        <v>623</v>
      </c>
      <c r="C444">
        <v>1</v>
      </c>
      <c r="D444">
        <v>1000</v>
      </c>
      <c r="E444">
        <v>1000</v>
      </c>
      <c r="F444">
        <v>3.7410000000000001</v>
      </c>
      <c r="G444">
        <v>42514</v>
      </c>
      <c r="H444">
        <v>8</v>
      </c>
      <c r="I444">
        <v>18</v>
      </c>
      <c r="J444">
        <v>56</v>
      </c>
      <c r="K444">
        <v>56</v>
      </c>
      <c r="L444">
        <v>158</v>
      </c>
      <c r="O444" s="2" t="str" cm="1">
        <f t="array" ref="O44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44" s="2" t="str" cm="1">
        <f t="array" ref="P444">_xlfn.IFS(Computed_insight___Success_of_active_sellers__2[[#This Row],[rating]]&gt;=4.5, "Excellent ", Computed_insight___Success_of_active_sellers__2[[#This Row],[rating]]&gt;=4, "Good ", Computed_insight___Success_of_active_sellers__2[[#This Row],[rating]]&gt;=3.5, "Average", TRUE, "Poor ")</f>
        <v>Average</v>
      </c>
      <c r="Q444" s="2" t="str" cm="1">
        <f t="array" ref="Q44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44" s="2" t="str">
        <f>IF(Computed_insight___Success_of_active_sellers__2[[#This Row],[totalurgencycount]]&gt;0, "Has Banner", "No Banner")</f>
        <v>No Banner</v>
      </c>
    </row>
    <row r="445" spans="1:18" x14ac:dyDescent="0.3">
      <c r="A445">
        <v>443</v>
      </c>
      <c r="B445" t="s">
        <v>221</v>
      </c>
      <c r="C445">
        <v>1</v>
      </c>
      <c r="D445">
        <v>1000</v>
      </c>
      <c r="E445">
        <v>1000</v>
      </c>
      <c r="F445">
        <v>3.7490000000000001</v>
      </c>
      <c r="G445">
        <v>6632</v>
      </c>
      <c r="H445">
        <v>9</v>
      </c>
      <c r="I445">
        <v>48</v>
      </c>
      <c r="J445">
        <v>82</v>
      </c>
      <c r="K445">
        <v>82</v>
      </c>
      <c r="L445">
        <v>135</v>
      </c>
      <c r="O445" s="2" t="str" cm="1">
        <f t="array" ref="O44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45" s="2" t="str" cm="1">
        <f t="array" ref="P445">_xlfn.IFS(Computed_insight___Success_of_active_sellers__2[[#This Row],[rating]]&gt;=4.5, "Excellent ", Computed_insight___Success_of_active_sellers__2[[#This Row],[rating]]&gt;=4, "Good ", Computed_insight___Success_of_active_sellers__2[[#This Row],[rating]]&gt;=3.5, "Average", TRUE, "Poor ")</f>
        <v>Average</v>
      </c>
      <c r="Q445" s="2" t="str" cm="1">
        <f t="array" ref="Q44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45" s="2" t="str">
        <f>IF(Computed_insight___Success_of_active_sellers__2[[#This Row],[totalurgencycount]]&gt;0, "Has Banner", "No Banner")</f>
        <v>No Banner</v>
      </c>
    </row>
    <row r="446" spans="1:18" x14ac:dyDescent="0.3">
      <c r="A446">
        <v>444</v>
      </c>
      <c r="B446" t="s">
        <v>572</v>
      </c>
      <c r="C446">
        <v>1</v>
      </c>
      <c r="D446">
        <v>1000</v>
      </c>
      <c r="E446">
        <v>1000</v>
      </c>
      <c r="F446">
        <v>3.7610000000000001</v>
      </c>
      <c r="G446">
        <v>18762</v>
      </c>
      <c r="H446">
        <v>19</v>
      </c>
      <c r="I446">
        <v>17</v>
      </c>
      <c r="J446">
        <v>-11</v>
      </c>
      <c r="K446">
        <v>-11</v>
      </c>
      <c r="L446">
        <v>255</v>
      </c>
      <c r="O446" s="2" t="str" cm="1">
        <f t="array" ref="O44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46" s="2" t="str" cm="1">
        <f t="array" ref="P446">_xlfn.IFS(Computed_insight___Success_of_active_sellers__2[[#This Row],[rating]]&gt;=4.5, "Excellent ", Computed_insight___Success_of_active_sellers__2[[#This Row],[rating]]&gt;=4, "Good ", Computed_insight___Success_of_active_sellers__2[[#This Row],[rating]]&gt;=3.5, "Average", TRUE, "Poor ")</f>
        <v>Average</v>
      </c>
      <c r="Q446" s="2" t="str" cm="1">
        <f t="array" ref="Q44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46" s="2" t="str">
        <f>IF(Computed_insight___Success_of_active_sellers__2[[#This Row],[totalurgencycount]]&gt;0, "Has Banner", "No Banner")</f>
        <v>No Banner</v>
      </c>
    </row>
    <row r="447" spans="1:18" x14ac:dyDescent="0.3">
      <c r="A447">
        <v>445</v>
      </c>
      <c r="B447" t="s">
        <v>626</v>
      </c>
      <c r="C447">
        <v>1</v>
      </c>
      <c r="D447">
        <v>1000</v>
      </c>
      <c r="E447">
        <v>1000</v>
      </c>
      <c r="F447">
        <v>3.766</v>
      </c>
      <c r="G447">
        <v>667</v>
      </c>
      <c r="H447">
        <v>11</v>
      </c>
      <c r="I447">
        <v>11</v>
      </c>
      <c r="J447">
        <v>0</v>
      </c>
      <c r="K447">
        <v>0</v>
      </c>
      <c r="L447">
        <v>223</v>
      </c>
      <c r="M447">
        <v>1</v>
      </c>
      <c r="N447">
        <v>100</v>
      </c>
      <c r="O447" s="2" t="str" cm="1">
        <f t="array" ref="O44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47" s="2" t="str" cm="1">
        <f t="array" ref="P447">_xlfn.IFS(Computed_insight___Success_of_active_sellers__2[[#This Row],[rating]]&gt;=4.5, "Excellent ", Computed_insight___Success_of_active_sellers__2[[#This Row],[rating]]&gt;=4, "Good ", Computed_insight___Success_of_active_sellers__2[[#This Row],[rating]]&gt;=3.5, "Average", TRUE, "Poor ")</f>
        <v>Average</v>
      </c>
      <c r="Q447" s="2" t="str" cm="1">
        <f t="array" ref="Q44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47" s="2" t="str">
        <f>IF(Computed_insight___Success_of_active_sellers__2[[#This Row],[totalurgencycount]]&gt;0, "Has Banner", "No Banner")</f>
        <v>Has Banner</v>
      </c>
    </row>
    <row r="448" spans="1:18" x14ac:dyDescent="0.3">
      <c r="A448">
        <v>446</v>
      </c>
      <c r="B448" t="s">
        <v>860</v>
      </c>
      <c r="C448">
        <v>1</v>
      </c>
      <c r="D448">
        <v>1000</v>
      </c>
      <c r="E448">
        <v>1000</v>
      </c>
      <c r="F448">
        <v>3.766</v>
      </c>
      <c r="G448">
        <v>821</v>
      </c>
      <c r="H448">
        <v>8</v>
      </c>
      <c r="I448">
        <v>7</v>
      </c>
      <c r="J448">
        <v>-14</v>
      </c>
      <c r="K448">
        <v>-14</v>
      </c>
      <c r="L448">
        <v>294</v>
      </c>
      <c r="O448" s="2" t="str" cm="1">
        <f t="array" ref="O44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48" s="2" t="str" cm="1">
        <f t="array" ref="P448">_xlfn.IFS(Computed_insight___Success_of_active_sellers__2[[#This Row],[rating]]&gt;=4.5, "Excellent ", Computed_insight___Success_of_active_sellers__2[[#This Row],[rating]]&gt;=4, "Good ", Computed_insight___Success_of_active_sellers__2[[#This Row],[rating]]&gt;=3.5, "Average", TRUE, "Poor ")</f>
        <v>Average</v>
      </c>
      <c r="Q448" s="2" t="str" cm="1">
        <f t="array" ref="Q44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48" s="2" t="str">
        <f>IF(Computed_insight___Success_of_active_sellers__2[[#This Row],[totalurgencycount]]&gt;0, "Has Banner", "No Banner")</f>
        <v>No Banner</v>
      </c>
    </row>
    <row r="449" spans="1:18" x14ac:dyDescent="0.3">
      <c r="A449">
        <v>447</v>
      </c>
      <c r="B449" t="s">
        <v>773</v>
      </c>
      <c r="C449">
        <v>1</v>
      </c>
      <c r="D449">
        <v>1000</v>
      </c>
      <c r="E449">
        <v>1000</v>
      </c>
      <c r="F449">
        <v>3.7679999999999998</v>
      </c>
      <c r="G449">
        <v>2078</v>
      </c>
      <c r="H449">
        <v>11</v>
      </c>
      <c r="I449">
        <v>22</v>
      </c>
      <c r="J449">
        <v>50</v>
      </c>
      <c r="K449">
        <v>50</v>
      </c>
      <c r="L449">
        <v>129</v>
      </c>
      <c r="O449" s="2" t="str" cm="1">
        <f t="array" ref="O44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49" s="2" t="str" cm="1">
        <f t="array" ref="P449">_xlfn.IFS(Computed_insight___Success_of_active_sellers__2[[#This Row],[rating]]&gt;=4.5, "Excellent ", Computed_insight___Success_of_active_sellers__2[[#This Row],[rating]]&gt;=4, "Good ", Computed_insight___Success_of_active_sellers__2[[#This Row],[rating]]&gt;=3.5, "Average", TRUE, "Poor ")</f>
        <v>Average</v>
      </c>
      <c r="Q449" s="2" t="str" cm="1">
        <f t="array" ref="Q449">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449" s="2" t="str">
        <f>IF(Computed_insight___Success_of_active_sellers__2[[#This Row],[totalurgencycount]]&gt;0, "Has Banner", "No Banner")</f>
        <v>No Banner</v>
      </c>
    </row>
    <row r="450" spans="1:18" x14ac:dyDescent="0.3">
      <c r="A450">
        <v>448</v>
      </c>
      <c r="B450" t="s">
        <v>595</v>
      </c>
      <c r="C450">
        <v>1</v>
      </c>
      <c r="D450">
        <v>1000</v>
      </c>
      <c r="E450">
        <v>1000</v>
      </c>
      <c r="F450">
        <v>3.79</v>
      </c>
      <c r="G450">
        <v>21842</v>
      </c>
      <c r="H450">
        <v>4.8600000000000003</v>
      </c>
      <c r="I450">
        <v>8</v>
      </c>
      <c r="J450">
        <v>40</v>
      </c>
      <c r="K450">
        <v>40</v>
      </c>
      <c r="L450">
        <v>115</v>
      </c>
      <c r="O450" s="2" t="str" cm="1">
        <f t="array" ref="O45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50" s="2" t="str" cm="1">
        <f t="array" ref="P450">_xlfn.IFS(Computed_insight___Success_of_active_sellers__2[[#This Row],[rating]]&gt;=4.5, "Excellent ", Computed_insight___Success_of_active_sellers__2[[#This Row],[rating]]&gt;=4, "Good ", Computed_insight___Success_of_active_sellers__2[[#This Row],[rating]]&gt;=3.5, "Average", TRUE, "Poor ")</f>
        <v>Average</v>
      </c>
      <c r="Q450" s="2" t="str" cm="1">
        <f t="array" ref="Q450">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450" s="2" t="str">
        <f>IF(Computed_insight___Success_of_active_sellers__2[[#This Row],[totalurgencycount]]&gt;0, "Has Banner", "No Banner")</f>
        <v>No Banner</v>
      </c>
    </row>
    <row r="451" spans="1:18" x14ac:dyDescent="0.3">
      <c r="A451">
        <v>449</v>
      </c>
      <c r="B451" t="s">
        <v>280</v>
      </c>
      <c r="C451">
        <v>1</v>
      </c>
      <c r="D451">
        <v>1000</v>
      </c>
      <c r="E451">
        <v>1000</v>
      </c>
      <c r="F451">
        <v>3.794</v>
      </c>
      <c r="G451">
        <v>383</v>
      </c>
      <c r="H451">
        <v>6</v>
      </c>
      <c r="I451">
        <v>30</v>
      </c>
      <c r="J451">
        <v>80</v>
      </c>
      <c r="K451">
        <v>80</v>
      </c>
      <c r="L451">
        <v>325</v>
      </c>
      <c r="O451" s="2" t="str" cm="1">
        <f t="array" ref="O45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51" s="2" t="str" cm="1">
        <f t="array" ref="P451">_xlfn.IFS(Computed_insight___Success_of_active_sellers__2[[#This Row],[rating]]&gt;=4.5, "Excellent ", Computed_insight___Success_of_active_sellers__2[[#This Row],[rating]]&gt;=4, "Good ", Computed_insight___Success_of_active_sellers__2[[#This Row],[rating]]&gt;=3.5, "Average", TRUE, "Poor ")</f>
        <v>Average</v>
      </c>
      <c r="Q451" s="2" t="str" cm="1">
        <f t="array" ref="Q45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51" s="2" t="str">
        <f>IF(Computed_insight___Success_of_active_sellers__2[[#This Row],[totalurgencycount]]&gt;0, "Has Banner", "No Banner")</f>
        <v>No Banner</v>
      </c>
    </row>
    <row r="452" spans="1:18" x14ac:dyDescent="0.3">
      <c r="A452">
        <v>450</v>
      </c>
      <c r="B452" t="s">
        <v>474</v>
      </c>
      <c r="C452">
        <v>1</v>
      </c>
      <c r="D452">
        <v>1000</v>
      </c>
      <c r="E452">
        <v>1000</v>
      </c>
      <c r="F452">
        <v>3.8109999999999999</v>
      </c>
      <c r="G452">
        <v>1685</v>
      </c>
      <c r="H452">
        <v>7</v>
      </c>
      <c r="I452">
        <v>6</v>
      </c>
      <c r="J452">
        <v>-16</v>
      </c>
      <c r="K452">
        <v>-16</v>
      </c>
      <c r="L452">
        <v>46</v>
      </c>
      <c r="O452" s="2" t="str" cm="1">
        <f t="array" ref="O45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52" s="2" t="str" cm="1">
        <f t="array" ref="P452">_xlfn.IFS(Computed_insight___Success_of_active_sellers__2[[#This Row],[rating]]&gt;=4.5, "Excellent ", Computed_insight___Success_of_active_sellers__2[[#This Row],[rating]]&gt;=4, "Good ", Computed_insight___Success_of_active_sellers__2[[#This Row],[rating]]&gt;=3.5, "Average", TRUE, "Poor ")</f>
        <v>Average</v>
      </c>
      <c r="Q452" s="2" t="str" cm="1">
        <f t="array" ref="Q45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52" s="2" t="str">
        <f>IF(Computed_insight___Success_of_active_sellers__2[[#This Row],[totalurgencycount]]&gt;0, "Has Banner", "No Banner")</f>
        <v>No Banner</v>
      </c>
    </row>
    <row r="453" spans="1:18" x14ac:dyDescent="0.3">
      <c r="A453">
        <v>451</v>
      </c>
      <c r="B453" t="s">
        <v>660</v>
      </c>
      <c r="C453">
        <v>1</v>
      </c>
      <c r="D453">
        <v>1000</v>
      </c>
      <c r="E453">
        <v>1000</v>
      </c>
      <c r="F453">
        <v>3.8170000000000002</v>
      </c>
      <c r="G453">
        <v>8362</v>
      </c>
      <c r="H453">
        <v>11</v>
      </c>
      <c r="I453">
        <v>11</v>
      </c>
      <c r="J453">
        <v>0</v>
      </c>
      <c r="K453">
        <v>0</v>
      </c>
      <c r="L453">
        <v>131</v>
      </c>
      <c r="O453" s="2" t="str" cm="1">
        <f t="array" ref="O45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53" s="2" t="str" cm="1">
        <f t="array" ref="P453">_xlfn.IFS(Computed_insight___Success_of_active_sellers__2[[#This Row],[rating]]&gt;=4.5, "Excellent ", Computed_insight___Success_of_active_sellers__2[[#This Row],[rating]]&gt;=4, "Good ", Computed_insight___Success_of_active_sellers__2[[#This Row],[rating]]&gt;=3.5, "Average", TRUE, "Poor ")</f>
        <v>Average</v>
      </c>
      <c r="Q453" s="2" t="str" cm="1">
        <f t="array" ref="Q45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53" s="2" t="str">
        <f>IF(Computed_insight___Success_of_active_sellers__2[[#This Row],[totalurgencycount]]&gt;0, "Has Banner", "No Banner")</f>
        <v>No Banner</v>
      </c>
    </row>
    <row r="454" spans="1:18" x14ac:dyDescent="0.3">
      <c r="A454">
        <v>452</v>
      </c>
      <c r="B454" t="s">
        <v>811</v>
      </c>
      <c r="C454">
        <v>1</v>
      </c>
      <c r="D454">
        <v>1000</v>
      </c>
      <c r="E454">
        <v>1000</v>
      </c>
      <c r="F454">
        <v>3.82</v>
      </c>
      <c r="G454">
        <v>4924</v>
      </c>
      <c r="H454">
        <v>12</v>
      </c>
      <c r="I454">
        <v>11</v>
      </c>
      <c r="J454">
        <v>-9</v>
      </c>
      <c r="K454">
        <v>-9</v>
      </c>
      <c r="L454">
        <v>181</v>
      </c>
      <c r="O454" s="2" t="str" cm="1">
        <f t="array" ref="O45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54" s="2" t="str" cm="1">
        <f t="array" ref="P454">_xlfn.IFS(Computed_insight___Success_of_active_sellers__2[[#This Row],[rating]]&gt;=4.5, "Excellent ", Computed_insight___Success_of_active_sellers__2[[#This Row],[rating]]&gt;=4, "Good ", Computed_insight___Success_of_active_sellers__2[[#This Row],[rating]]&gt;=3.5, "Average", TRUE, "Poor ")</f>
        <v>Average</v>
      </c>
      <c r="Q454" s="2" t="str" cm="1">
        <f t="array" ref="Q45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54" s="2" t="str">
        <f>IF(Computed_insight___Success_of_active_sellers__2[[#This Row],[totalurgencycount]]&gt;0, "Has Banner", "No Banner")</f>
        <v>No Banner</v>
      </c>
    </row>
    <row r="455" spans="1:18" x14ac:dyDescent="0.3">
      <c r="A455">
        <v>453</v>
      </c>
      <c r="B455" t="s">
        <v>952</v>
      </c>
      <c r="C455">
        <v>1</v>
      </c>
      <c r="D455">
        <v>1000</v>
      </c>
      <c r="E455">
        <v>1000</v>
      </c>
      <c r="F455">
        <v>3.8290000000000002</v>
      </c>
      <c r="G455">
        <v>738</v>
      </c>
      <c r="H455">
        <v>8</v>
      </c>
      <c r="I455">
        <v>7</v>
      </c>
      <c r="J455">
        <v>-14</v>
      </c>
      <c r="K455">
        <v>-14</v>
      </c>
      <c r="L455">
        <v>62</v>
      </c>
      <c r="O455" s="2" t="str" cm="1">
        <f t="array" ref="O45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55" s="2" t="str" cm="1">
        <f t="array" ref="P455">_xlfn.IFS(Computed_insight___Success_of_active_sellers__2[[#This Row],[rating]]&gt;=4.5, "Excellent ", Computed_insight___Success_of_active_sellers__2[[#This Row],[rating]]&gt;=4, "Good ", Computed_insight___Success_of_active_sellers__2[[#This Row],[rating]]&gt;=3.5, "Average", TRUE, "Poor ")</f>
        <v>Average</v>
      </c>
      <c r="Q455" s="2" t="str" cm="1">
        <f t="array" ref="Q45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55" s="2" t="str">
        <f>IF(Computed_insight___Success_of_active_sellers__2[[#This Row],[totalurgencycount]]&gt;0, "Has Banner", "No Banner")</f>
        <v>No Banner</v>
      </c>
    </row>
    <row r="456" spans="1:18" x14ac:dyDescent="0.3">
      <c r="A456">
        <v>454</v>
      </c>
      <c r="B456" t="s">
        <v>380</v>
      </c>
      <c r="C456">
        <v>1</v>
      </c>
      <c r="D456">
        <v>1000</v>
      </c>
      <c r="E456">
        <v>1000</v>
      </c>
      <c r="F456">
        <v>3.8420000000000001</v>
      </c>
      <c r="G456">
        <v>1733</v>
      </c>
      <c r="H456">
        <v>11</v>
      </c>
      <c r="I456">
        <v>10</v>
      </c>
      <c r="J456">
        <v>-10</v>
      </c>
      <c r="K456">
        <v>-10</v>
      </c>
      <c r="L456">
        <v>410</v>
      </c>
      <c r="O456" s="2" t="str" cm="1">
        <f t="array" ref="O45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56" s="2" t="str" cm="1">
        <f t="array" ref="P456">_xlfn.IFS(Computed_insight___Success_of_active_sellers__2[[#This Row],[rating]]&gt;=4.5, "Excellent ", Computed_insight___Success_of_active_sellers__2[[#This Row],[rating]]&gt;=4, "Good ", Computed_insight___Success_of_active_sellers__2[[#This Row],[rating]]&gt;=3.5, "Average", TRUE, "Poor ")</f>
        <v>Average</v>
      </c>
      <c r="Q456" s="2" t="str" cm="1">
        <f t="array" ref="Q45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56" s="2" t="str">
        <f>IF(Computed_insight___Success_of_active_sellers__2[[#This Row],[totalurgencycount]]&gt;0, "Has Banner", "No Banner")</f>
        <v>No Banner</v>
      </c>
    </row>
    <row r="457" spans="1:18" x14ac:dyDescent="0.3">
      <c r="A457">
        <v>455</v>
      </c>
      <c r="B457" t="s">
        <v>101</v>
      </c>
      <c r="C457">
        <v>1</v>
      </c>
      <c r="D457">
        <v>1000</v>
      </c>
      <c r="E457">
        <v>1000</v>
      </c>
      <c r="F457">
        <v>3.8450000000000002</v>
      </c>
      <c r="G457">
        <v>670</v>
      </c>
      <c r="H457">
        <v>6</v>
      </c>
      <c r="I457">
        <v>6</v>
      </c>
      <c r="J457">
        <v>0</v>
      </c>
      <c r="K457">
        <v>0</v>
      </c>
      <c r="L457">
        <v>134</v>
      </c>
      <c r="O457" s="2" t="str" cm="1">
        <f t="array" ref="O45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57" s="2" t="str" cm="1">
        <f t="array" ref="P457">_xlfn.IFS(Computed_insight___Success_of_active_sellers__2[[#This Row],[rating]]&gt;=4.5, "Excellent ", Computed_insight___Success_of_active_sellers__2[[#This Row],[rating]]&gt;=4, "Good ", Computed_insight___Success_of_active_sellers__2[[#This Row],[rating]]&gt;=3.5, "Average", TRUE, "Poor ")</f>
        <v>Average</v>
      </c>
      <c r="Q457" s="2" t="str" cm="1">
        <f t="array" ref="Q45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57" s="2" t="str">
        <f>IF(Computed_insight___Success_of_active_sellers__2[[#This Row],[totalurgencycount]]&gt;0, "Has Banner", "No Banner")</f>
        <v>No Banner</v>
      </c>
    </row>
    <row r="458" spans="1:18" x14ac:dyDescent="0.3">
      <c r="A458">
        <v>456</v>
      </c>
      <c r="B458" t="s">
        <v>913</v>
      </c>
      <c r="C458">
        <v>1</v>
      </c>
      <c r="D458">
        <v>1000</v>
      </c>
      <c r="E458">
        <v>1000</v>
      </c>
      <c r="F458">
        <v>3.855</v>
      </c>
      <c r="G458">
        <v>15812</v>
      </c>
      <c r="H458">
        <v>6</v>
      </c>
      <c r="I458">
        <v>22</v>
      </c>
      <c r="J458">
        <v>73</v>
      </c>
      <c r="K458">
        <v>73</v>
      </c>
      <c r="L458">
        <v>47</v>
      </c>
      <c r="M458">
        <v>1</v>
      </c>
      <c r="N458">
        <v>100</v>
      </c>
      <c r="O458" s="2" t="str" cm="1">
        <f t="array" ref="O45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58" s="2" t="str" cm="1">
        <f t="array" ref="P458">_xlfn.IFS(Computed_insight___Success_of_active_sellers__2[[#This Row],[rating]]&gt;=4.5, "Excellent ", Computed_insight___Success_of_active_sellers__2[[#This Row],[rating]]&gt;=4, "Good ", Computed_insight___Success_of_active_sellers__2[[#This Row],[rating]]&gt;=3.5, "Average", TRUE, "Poor ")</f>
        <v>Average</v>
      </c>
      <c r="Q458" s="2" t="str" cm="1">
        <f t="array" ref="Q45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58" s="2" t="str">
        <f>IF(Computed_insight___Success_of_active_sellers__2[[#This Row],[totalurgencycount]]&gt;0, "Has Banner", "No Banner")</f>
        <v>Has Banner</v>
      </c>
    </row>
    <row r="459" spans="1:18" x14ac:dyDescent="0.3">
      <c r="A459">
        <v>457</v>
      </c>
      <c r="B459" t="s">
        <v>658</v>
      </c>
      <c r="C459">
        <v>1</v>
      </c>
      <c r="D459">
        <v>1000</v>
      </c>
      <c r="E459">
        <v>1000</v>
      </c>
      <c r="F459">
        <v>3.855</v>
      </c>
      <c r="G459">
        <v>15407</v>
      </c>
      <c r="H459">
        <v>12</v>
      </c>
      <c r="I459">
        <v>85</v>
      </c>
      <c r="J459">
        <v>86</v>
      </c>
      <c r="K459">
        <v>86</v>
      </c>
      <c r="L459">
        <v>137</v>
      </c>
      <c r="O459" s="2" t="str" cm="1">
        <f t="array" ref="O45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59" s="2" t="str" cm="1">
        <f t="array" ref="P459">_xlfn.IFS(Computed_insight___Success_of_active_sellers__2[[#This Row],[rating]]&gt;=4.5, "Excellent ", Computed_insight___Success_of_active_sellers__2[[#This Row],[rating]]&gt;=4, "Good ", Computed_insight___Success_of_active_sellers__2[[#This Row],[rating]]&gt;=3.5, "Average", TRUE, "Poor ")</f>
        <v>Average</v>
      </c>
      <c r="Q459" s="2" t="str" cm="1">
        <f t="array" ref="Q45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59" s="2" t="str">
        <f>IF(Computed_insight___Success_of_active_sellers__2[[#This Row],[totalurgencycount]]&gt;0, "Has Banner", "No Banner")</f>
        <v>No Banner</v>
      </c>
    </row>
    <row r="460" spans="1:18" x14ac:dyDescent="0.3">
      <c r="A460">
        <v>458</v>
      </c>
      <c r="B460" t="s">
        <v>332</v>
      </c>
      <c r="C460">
        <v>1</v>
      </c>
      <c r="D460">
        <v>1000</v>
      </c>
      <c r="E460">
        <v>1000</v>
      </c>
      <c r="F460">
        <v>3.8570000000000002</v>
      </c>
      <c r="G460">
        <v>13814</v>
      </c>
      <c r="H460">
        <v>9</v>
      </c>
      <c r="I460">
        <v>8</v>
      </c>
      <c r="J460">
        <v>-12</v>
      </c>
      <c r="K460">
        <v>-12</v>
      </c>
      <c r="L460">
        <v>81</v>
      </c>
      <c r="O460" s="2" t="str" cm="1">
        <f t="array" ref="O46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60" s="2" t="str" cm="1">
        <f t="array" ref="P460">_xlfn.IFS(Computed_insight___Success_of_active_sellers__2[[#This Row],[rating]]&gt;=4.5, "Excellent ", Computed_insight___Success_of_active_sellers__2[[#This Row],[rating]]&gt;=4, "Good ", Computed_insight___Success_of_active_sellers__2[[#This Row],[rating]]&gt;=3.5, "Average", TRUE, "Poor ")</f>
        <v>Average</v>
      </c>
      <c r="Q460" s="2" t="str" cm="1">
        <f t="array" ref="Q46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60" s="2" t="str">
        <f>IF(Computed_insight___Success_of_active_sellers__2[[#This Row],[totalurgencycount]]&gt;0, "Has Banner", "No Banner")</f>
        <v>No Banner</v>
      </c>
    </row>
    <row r="461" spans="1:18" x14ac:dyDescent="0.3">
      <c r="A461">
        <v>459</v>
      </c>
      <c r="B461" t="s">
        <v>51</v>
      </c>
      <c r="C461">
        <v>1</v>
      </c>
      <c r="D461">
        <v>1000</v>
      </c>
      <c r="E461">
        <v>1000</v>
      </c>
      <c r="F461">
        <v>3.8580000000000001</v>
      </c>
      <c r="G461">
        <v>8197</v>
      </c>
      <c r="H461">
        <v>1</v>
      </c>
      <c r="I461">
        <v>11</v>
      </c>
      <c r="J461">
        <v>91</v>
      </c>
      <c r="K461">
        <v>91</v>
      </c>
      <c r="L461">
        <v>5</v>
      </c>
      <c r="O461" s="2" t="str" cm="1">
        <f t="array" ref="O46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61" s="2" t="str" cm="1">
        <f t="array" ref="P461">_xlfn.IFS(Computed_insight___Success_of_active_sellers__2[[#This Row],[rating]]&gt;=4.5, "Excellent ", Computed_insight___Success_of_active_sellers__2[[#This Row],[rating]]&gt;=4, "Good ", Computed_insight___Success_of_active_sellers__2[[#This Row],[rating]]&gt;=3.5, "Average", TRUE, "Poor ")</f>
        <v>Average</v>
      </c>
      <c r="Q461" s="2" t="str" cm="1">
        <f t="array" ref="Q46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61" s="2" t="str">
        <f>IF(Computed_insight___Success_of_active_sellers__2[[#This Row],[totalurgencycount]]&gt;0, "Has Banner", "No Banner")</f>
        <v>No Banner</v>
      </c>
    </row>
    <row r="462" spans="1:18" x14ac:dyDescent="0.3">
      <c r="A462">
        <v>460</v>
      </c>
      <c r="B462" t="s">
        <v>493</v>
      </c>
      <c r="C462">
        <v>1</v>
      </c>
      <c r="D462">
        <v>1000</v>
      </c>
      <c r="E462">
        <v>1000</v>
      </c>
      <c r="F462">
        <v>3.8610000000000002</v>
      </c>
      <c r="G462">
        <v>2397</v>
      </c>
      <c r="H462">
        <v>12</v>
      </c>
      <c r="I462">
        <v>11</v>
      </c>
      <c r="J462">
        <v>-9</v>
      </c>
      <c r="K462">
        <v>-9</v>
      </c>
      <c r="L462">
        <v>928</v>
      </c>
      <c r="O462" s="2" t="str" cm="1">
        <f t="array" ref="O46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62" s="2" t="str" cm="1">
        <f t="array" ref="P462">_xlfn.IFS(Computed_insight___Success_of_active_sellers__2[[#This Row],[rating]]&gt;=4.5, "Excellent ", Computed_insight___Success_of_active_sellers__2[[#This Row],[rating]]&gt;=4, "Good ", Computed_insight___Success_of_active_sellers__2[[#This Row],[rating]]&gt;=3.5, "Average", TRUE, "Poor ")</f>
        <v>Average</v>
      </c>
      <c r="Q462" s="2" t="str" cm="1">
        <f t="array" ref="Q46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62" s="2" t="str">
        <f>IF(Computed_insight___Success_of_active_sellers__2[[#This Row],[totalurgencycount]]&gt;0, "Has Banner", "No Banner")</f>
        <v>No Banner</v>
      </c>
    </row>
    <row r="463" spans="1:18" x14ac:dyDescent="0.3">
      <c r="A463">
        <v>461</v>
      </c>
      <c r="B463" t="s">
        <v>528</v>
      </c>
      <c r="C463">
        <v>1</v>
      </c>
      <c r="D463">
        <v>1000</v>
      </c>
      <c r="E463">
        <v>1000</v>
      </c>
      <c r="F463">
        <v>3.8639999999999999</v>
      </c>
      <c r="G463">
        <v>3727</v>
      </c>
      <c r="H463">
        <v>12</v>
      </c>
      <c r="I463">
        <v>11</v>
      </c>
      <c r="J463">
        <v>-9</v>
      </c>
      <c r="K463">
        <v>-9</v>
      </c>
      <c r="L463">
        <v>398</v>
      </c>
      <c r="O463" s="2" t="str" cm="1">
        <f t="array" ref="O46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63" s="2" t="str" cm="1">
        <f t="array" ref="P463">_xlfn.IFS(Computed_insight___Success_of_active_sellers__2[[#This Row],[rating]]&gt;=4.5, "Excellent ", Computed_insight___Success_of_active_sellers__2[[#This Row],[rating]]&gt;=4, "Good ", Computed_insight___Success_of_active_sellers__2[[#This Row],[rating]]&gt;=3.5, "Average", TRUE, "Poor ")</f>
        <v>Average</v>
      </c>
      <c r="Q463" s="2" t="str" cm="1">
        <f t="array" ref="Q46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63" s="2" t="str">
        <f>IF(Computed_insight___Success_of_active_sellers__2[[#This Row],[totalurgencycount]]&gt;0, "Has Banner", "No Banner")</f>
        <v>No Banner</v>
      </c>
    </row>
    <row r="464" spans="1:18" x14ac:dyDescent="0.3">
      <c r="A464">
        <v>462</v>
      </c>
      <c r="B464" t="s">
        <v>210</v>
      </c>
      <c r="C464">
        <v>1</v>
      </c>
      <c r="D464">
        <v>1000</v>
      </c>
      <c r="E464">
        <v>1000</v>
      </c>
      <c r="F464">
        <v>3.8759999999999999</v>
      </c>
      <c r="G464">
        <v>8433</v>
      </c>
      <c r="H464">
        <v>8</v>
      </c>
      <c r="I464">
        <v>42</v>
      </c>
      <c r="J464">
        <v>81</v>
      </c>
      <c r="K464">
        <v>81</v>
      </c>
      <c r="L464">
        <v>409</v>
      </c>
      <c r="O464" s="2" t="str" cm="1">
        <f t="array" ref="O46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64" s="2" t="str" cm="1">
        <f t="array" ref="P464">_xlfn.IFS(Computed_insight___Success_of_active_sellers__2[[#This Row],[rating]]&gt;=4.5, "Excellent ", Computed_insight___Success_of_active_sellers__2[[#This Row],[rating]]&gt;=4, "Good ", Computed_insight___Success_of_active_sellers__2[[#This Row],[rating]]&gt;=3.5, "Average", TRUE, "Poor ")</f>
        <v>Average</v>
      </c>
      <c r="Q464" s="2" t="str" cm="1">
        <f t="array" ref="Q46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64" s="2" t="str">
        <f>IF(Computed_insight___Success_of_active_sellers__2[[#This Row],[totalurgencycount]]&gt;0, "Has Banner", "No Banner")</f>
        <v>No Banner</v>
      </c>
    </row>
    <row r="465" spans="1:18" x14ac:dyDescent="0.3">
      <c r="A465">
        <v>463</v>
      </c>
      <c r="B465" t="s">
        <v>54</v>
      </c>
      <c r="C465">
        <v>1</v>
      </c>
      <c r="D465">
        <v>1000</v>
      </c>
      <c r="E465">
        <v>1000</v>
      </c>
      <c r="F465">
        <v>3.8769999999999998</v>
      </c>
      <c r="G465">
        <v>13309</v>
      </c>
      <c r="H465">
        <v>6</v>
      </c>
      <c r="I465">
        <v>56</v>
      </c>
      <c r="J465">
        <v>90</v>
      </c>
      <c r="K465">
        <v>90</v>
      </c>
      <c r="L465">
        <v>938</v>
      </c>
      <c r="O465" s="2" t="str" cm="1">
        <f t="array" ref="O46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65" s="2" t="str" cm="1">
        <f t="array" ref="P465">_xlfn.IFS(Computed_insight___Success_of_active_sellers__2[[#This Row],[rating]]&gt;=4.5, "Excellent ", Computed_insight___Success_of_active_sellers__2[[#This Row],[rating]]&gt;=4, "Good ", Computed_insight___Success_of_active_sellers__2[[#This Row],[rating]]&gt;=3.5, "Average", TRUE, "Poor ")</f>
        <v>Average</v>
      </c>
      <c r="Q465" s="2" t="str" cm="1">
        <f t="array" ref="Q46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65" s="2" t="str">
        <f>IF(Computed_insight___Success_of_active_sellers__2[[#This Row],[totalurgencycount]]&gt;0, "Has Banner", "No Banner")</f>
        <v>No Banner</v>
      </c>
    </row>
    <row r="466" spans="1:18" x14ac:dyDescent="0.3">
      <c r="A466">
        <v>464</v>
      </c>
      <c r="B466" t="s">
        <v>534</v>
      </c>
      <c r="C466">
        <v>1</v>
      </c>
      <c r="D466">
        <v>1000</v>
      </c>
      <c r="E466">
        <v>1000</v>
      </c>
      <c r="F466">
        <v>3.8780000000000001</v>
      </c>
      <c r="G466">
        <v>16085</v>
      </c>
      <c r="H466">
        <v>11</v>
      </c>
      <c r="I466">
        <v>159</v>
      </c>
      <c r="J466">
        <v>94</v>
      </c>
      <c r="K466">
        <v>94</v>
      </c>
      <c r="L466">
        <v>585</v>
      </c>
      <c r="O466" s="2" t="str" cm="1">
        <f t="array" ref="O46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66" s="2" t="str" cm="1">
        <f t="array" ref="P466">_xlfn.IFS(Computed_insight___Success_of_active_sellers__2[[#This Row],[rating]]&gt;=4.5, "Excellent ", Computed_insight___Success_of_active_sellers__2[[#This Row],[rating]]&gt;=4, "Good ", Computed_insight___Success_of_active_sellers__2[[#This Row],[rating]]&gt;=3.5, "Average", TRUE, "Poor ")</f>
        <v>Average</v>
      </c>
      <c r="Q466" s="2" t="str" cm="1">
        <f t="array" ref="Q46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66" s="2" t="str">
        <f>IF(Computed_insight___Success_of_active_sellers__2[[#This Row],[totalurgencycount]]&gt;0, "Has Banner", "No Banner")</f>
        <v>No Banner</v>
      </c>
    </row>
    <row r="467" spans="1:18" x14ac:dyDescent="0.3">
      <c r="A467">
        <v>465</v>
      </c>
      <c r="B467" t="s">
        <v>670</v>
      </c>
      <c r="C467">
        <v>1</v>
      </c>
      <c r="D467">
        <v>1000</v>
      </c>
      <c r="E467">
        <v>1000</v>
      </c>
      <c r="F467">
        <v>3.883</v>
      </c>
      <c r="G467">
        <v>2072</v>
      </c>
      <c r="H467">
        <v>3.9</v>
      </c>
      <c r="I467">
        <v>5</v>
      </c>
      <c r="J467">
        <v>22</v>
      </c>
      <c r="K467">
        <v>22</v>
      </c>
      <c r="L467">
        <v>57</v>
      </c>
      <c r="M467">
        <v>1</v>
      </c>
      <c r="N467">
        <v>100</v>
      </c>
      <c r="O467" s="2" t="str" cm="1">
        <f t="array" ref="O46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67" s="2" t="str" cm="1">
        <f t="array" ref="P467">_xlfn.IFS(Computed_insight___Success_of_active_sellers__2[[#This Row],[rating]]&gt;=4.5, "Excellent ", Computed_insight___Success_of_active_sellers__2[[#This Row],[rating]]&gt;=4, "Good ", Computed_insight___Success_of_active_sellers__2[[#This Row],[rating]]&gt;=3.5, "Average", TRUE, "Poor ")</f>
        <v>Average</v>
      </c>
      <c r="Q467" s="2" t="str" cm="1">
        <f t="array" ref="Q467">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467" s="2" t="str">
        <f>IF(Computed_insight___Success_of_active_sellers__2[[#This Row],[totalurgencycount]]&gt;0, "Has Banner", "No Banner")</f>
        <v>Has Banner</v>
      </c>
    </row>
    <row r="468" spans="1:18" x14ac:dyDescent="0.3">
      <c r="A468">
        <v>466</v>
      </c>
      <c r="B468" t="s">
        <v>435</v>
      </c>
      <c r="C468">
        <v>1</v>
      </c>
      <c r="D468">
        <v>1000</v>
      </c>
      <c r="E468">
        <v>1000</v>
      </c>
      <c r="F468">
        <v>3.8849999999999998</v>
      </c>
      <c r="G468">
        <v>21012</v>
      </c>
      <c r="H468">
        <v>8</v>
      </c>
      <c r="I468">
        <v>9</v>
      </c>
      <c r="J468">
        <v>12</v>
      </c>
      <c r="K468">
        <v>12</v>
      </c>
      <c r="L468">
        <v>45</v>
      </c>
      <c r="O468" s="2" t="str" cm="1">
        <f t="array" ref="O46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68" s="2" t="str" cm="1">
        <f t="array" ref="P468">_xlfn.IFS(Computed_insight___Success_of_active_sellers__2[[#This Row],[rating]]&gt;=4.5, "Excellent ", Computed_insight___Success_of_active_sellers__2[[#This Row],[rating]]&gt;=4, "Good ", Computed_insight___Success_of_active_sellers__2[[#This Row],[rating]]&gt;=3.5, "Average", TRUE, "Poor ")</f>
        <v>Average</v>
      </c>
      <c r="Q468" s="2" t="str" cm="1">
        <f t="array" ref="Q468">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468" s="2" t="str">
        <f>IF(Computed_insight___Success_of_active_sellers__2[[#This Row],[totalurgencycount]]&gt;0, "Has Banner", "No Banner")</f>
        <v>No Banner</v>
      </c>
    </row>
    <row r="469" spans="1:18" x14ac:dyDescent="0.3">
      <c r="A469">
        <v>467</v>
      </c>
      <c r="B469" t="s">
        <v>209</v>
      </c>
      <c r="C469">
        <v>1</v>
      </c>
      <c r="D469">
        <v>1000</v>
      </c>
      <c r="E469">
        <v>1000</v>
      </c>
      <c r="F469">
        <v>3.8919999999999999</v>
      </c>
      <c r="G469">
        <v>870</v>
      </c>
      <c r="H469">
        <v>12</v>
      </c>
      <c r="I469">
        <v>11</v>
      </c>
      <c r="J469">
        <v>-9</v>
      </c>
      <c r="K469">
        <v>-9</v>
      </c>
      <c r="L469">
        <v>646</v>
      </c>
      <c r="O469" s="2" t="str" cm="1">
        <f t="array" ref="O46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69" s="2" t="str" cm="1">
        <f t="array" ref="P469">_xlfn.IFS(Computed_insight___Success_of_active_sellers__2[[#This Row],[rating]]&gt;=4.5, "Excellent ", Computed_insight___Success_of_active_sellers__2[[#This Row],[rating]]&gt;=4, "Good ", Computed_insight___Success_of_active_sellers__2[[#This Row],[rating]]&gt;=3.5, "Average", TRUE, "Poor ")</f>
        <v>Average</v>
      </c>
      <c r="Q469" s="2" t="str" cm="1">
        <f t="array" ref="Q46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69" s="2" t="str">
        <f>IF(Computed_insight___Success_of_active_sellers__2[[#This Row],[totalurgencycount]]&gt;0, "Has Banner", "No Banner")</f>
        <v>No Banner</v>
      </c>
    </row>
    <row r="470" spans="1:18" x14ac:dyDescent="0.3">
      <c r="A470">
        <v>468</v>
      </c>
      <c r="B470" t="s">
        <v>928</v>
      </c>
      <c r="C470">
        <v>1</v>
      </c>
      <c r="D470">
        <v>1000</v>
      </c>
      <c r="E470">
        <v>1000</v>
      </c>
      <c r="F470">
        <v>3.8929999999999998</v>
      </c>
      <c r="G470">
        <v>466</v>
      </c>
      <c r="H470">
        <v>8</v>
      </c>
      <c r="I470">
        <v>7</v>
      </c>
      <c r="J470">
        <v>-14</v>
      </c>
      <c r="K470">
        <v>-14</v>
      </c>
      <c r="L470">
        <v>152</v>
      </c>
      <c r="O470" s="2" t="str" cm="1">
        <f t="array" ref="O47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70" s="2" t="str" cm="1">
        <f t="array" ref="P470">_xlfn.IFS(Computed_insight___Success_of_active_sellers__2[[#This Row],[rating]]&gt;=4.5, "Excellent ", Computed_insight___Success_of_active_sellers__2[[#This Row],[rating]]&gt;=4, "Good ", Computed_insight___Success_of_active_sellers__2[[#This Row],[rating]]&gt;=3.5, "Average", TRUE, "Poor ")</f>
        <v>Average</v>
      </c>
      <c r="Q470" s="2" t="str" cm="1">
        <f t="array" ref="Q47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70" s="2" t="str">
        <f>IF(Computed_insight___Success_of_active_sellers__2[[#This Row],[totalurgencycount]]&gt;0, "Has Banner", "No Banner")</f>
        <v>No Banner</v>
      </c>
    </row>
    <row r="471" spans="1:18" x14ac:dyDescent="0.3">
      <c r="A471">
        <v>469</v>
      </c>
      <c r="B471" t="s">
        <v>907</v>
      </c>
      <c r="C471">
        <v>1</v>
      </c>
      <c r="D471">
        <v>1000</v>
      </c>
      <c r="E471">
        <v>1000</v>
      </c>
      <c r="F471">
        <v>3.8940000000000001</v>
      </c>
      <c r="G471">
        <v>11354</v>
      </c>
      <c r="H471">
        <v>15</v>
      </c>
      <c r="I471">
        <v>13</v>
      </c>
      <c r="J471">
        <v>-15</v>
      </c>
      <c r="K471">
        <v>-15</v>
      </c>
      <c r="L471">
        <v>854</v>
      </c>
      <c r="O471" s="2" t="str" cm="1">
        <f t="array" ref="O47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71" s="2" t="str" cm="1">
        <f t="array" ref="P471">_xlfn.IFS(Computed_insight___Success_of_active_sellers__2[[#This Row],[rating]]&gt;=4.5, "Excellent ", Computed_insight___Success_of_active_sellers__2[[#This Row],[rating]]&gt;=4, "Good ", Computed_insight___Success_of_active_sellers__2[[#This Row],[rating]]&gt;=3.5, "Average", TRUE, "Poor ")</f>
        <v>Average</v>
      </c>
      <c r="Q471" s="2" t="str" cm="1">
        <f t="array" ref="Q47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71" s="2" t="str">
        <f>IF(Computed_insight___Success_of_active_sellers__2[[#This Row],[totalurgencycount]]&gt;0, "Has Banner", "No Banner")</f>
        <v>No Banner</v>
      </c>
    </row>
    <row r="472" spans="1:18" x14ac:dyDescent="0.3">
      <c r="A472">
        <v>470</v>
      </c>
      <c r="B472" t="s">
        <v>551</v>
      </c>
      <c r="C472">
        <v>1</v>
      </c>
      <c r="D472">
        <v>1000</v>
      </c>
      <c r="E472">
        <v>1000</v>
      </c>
      <c r="F472">
        <v>3.8940000000000001</v>
      </c>
      <c r="G472">
        <v>28694</v>
      </c>
      <c r="H472">
        <v>9</v>
      </c>
      <c r="I472">
        <v>9</v>
      </c>
      <c r="J472">
        <v>0</v>
      </c>
      <c r="K472">
        <v>0</v>
      </c>
      <c r="L472">
        <v>238</v>
      </c>
      <c r="O472" s="2" t="str" cm="1">
        <f t="array" ref="O47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72" s="2" t="str" cm="1">
        <f t="array" ref="P472">_xlfn.IFS(Computed_insight___Success_of_active_sellers__2[[#This Row],[rating]]&gt;=4.5, "Excellent ", Computed_insight___Success_of_active_sellers__2[[#This Row],[rating]]&gt;=4, "Good ", Computed_insight___Success_of_active_sellers__2[[#This Row],[rating]]&gt;=3.5, "Average", TRUE, "Poor ")</f>
        <v>Average</v>
      </c>
      <c r="Q472" s="2" t="str" cm="1">
        <f t="array" ref="Q47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72" s="2" t="str">
        <f>IF(Computed_insight___Success_of_active_sellers__2[[#This Row],[totalurgencycount]]&gt;0, "Has Banner", "No Banner")</f>
        <v>No Banner</v>
      </c>
    </row>
    <row r="473" spans="1:18" x14ac:dyDescent="0.3">
      <c r="A473">
        <v>471</v>
      </c>
      <c r="B473" t="s">
        <v>587</v>
      </c>
      <c r="C473">
        <v>1</v>
      </c>
      <c r="D473">
        <v>1000</v>
      </c>
      <c r="E473">
        <v>1000</v>
      </c>
      <c r="F473">
        <v>3.895</v>
      </c>
      <c r="G473">
        <v>3668</v>
      </c>
      <c r="H473">
        <v>11</v>
      </c>
      <c r="I473">
        <v>10</v>
      </c>
      <c r="J473">
        <v>-10</v>
      </c>
      <c r="K473">
        <v>-10</v>
      </c>
      <c r="L473">
        <v>85</v>
      </c>
      <c r="O473" s="2" t="str" cm="1">
        <f t="array" ref="O47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73" s="2" t="str" cm="1">
        <f t="array" ref="P473">_xlfn.IFS(Computed_insight___Success_of_active_sellers__2[[#This Row],[rating]]&gt;=4.5, "Excellent ", Computed_insight___Success_of_active_sellers__2[[#This Row],[rating]]&gt;=4, "Good ", Computed_insight___Success_of_active_sellers__2[[#This Row],[rating]]&gt;=3.5, "Average", TRUE, "Poor ")</f>
        <v>Average</v>
      </c>
      <c r="Q473" s="2" t="str" cm="1">
        <f t="array" ref="Q47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73" s="2" t="str">
        <f>IF(Computed_insight___Success_of_active_sellers__2[[#This Row],[totalurgencycount]]&gt;0, "Has Banner", "No Banner")</f>
        <v>No Banner</v>
      </c>
    </row>
    <row r="474" spans="1:18" x14ac:dyDescent="0.3">
      <c r="A474">
        <v>472</v>
      </c>
      <c r="B474" t="s">
        <v>863</v>
      </c>
      <c r="C474">
        <v>1</v>
      </c>
      <c r="D474">
        <v>1000</v>
      </c>
      <c r="E474">
        <v>1000</v>
      </c>
      <c r="F474">
        <v>3.8959999999999999</v>
      </c>
      <c r="G474">
        <v>1403</v>
      </c>
      <c r="H474">
        <v>11</v>
      </c>
      <c r="I474">
        <v>10</v>
      </c>
      <c r="J474">
        <v>-10</v>
      </c>
      <c r="K474">
        <v>-10</v>
      </c>
      <c r="L474">
        <v>113</v>
      </c>
      <c r="O474" s="2" t="str" cm="1">
        <f t="array" ref="O47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74" s="2" t="str" cm="1">
        <f t="array" ref="P474">_xlfn.IFS(Computed_insight___Success_of_active_sellers__2[[#This Row],[rating]]&gt;=4.5, "Excellent ", Computed_insight___Success_of_active_sellers__2[[#This Row],[rating]]&gt;=4, "Good ", Computed_insight___Success_of_active_sellers__2[[#This Row],[rating]]&gt;=3.5, "Average", TRUE, "Poor ")</f>
        <v>Average</v>
      </c>
      <c r="Q474" s="2" t="str" cm="1">
        <f t="array" ref="Q47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74" s="2" t="str">
        <f>IF(Computed_insight___Success_of_active_sellers__2[[#This Row],[totalurgencycount]]&gt;0, "Has Banner", "No Banner")</f>
        <v>No Banner</v>
      </c>
    </row>
    <row r="475" spans="1:18" x14ac:dyDescent="0.3">
      <c r="A475">
        <v>473</v>
      </c>
      <c r="B475" t="s">
        <v>128</v>
      </c>
      <c r="C475">
        <v>1</v>
      </c>
      <c r="D475">
        <v>1000</v>
      </c>
      <c r="E475">
        <v>1000</v>
      </c>
      <c r="F475">
        <v>3.8959999999999999</v>
      </c>
      <c r="G475">
        <v>433</v>
      </c>
      <c r="H475">
        <v>11</v>
      </c>
      <c r="I475">
        <v>10</v>
      </c>
      <c r="J475">
        <v>-10</v>
      </c>
      <c r="K475">
        <v>-10</v>
      </c>
      <c r="L475">
        <v>299</v>
      </c>
      <c r="O475" s="2" t="str" cm="1">
        <f t="array" ref="O47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75" s="2" t="str" cm="1">
        <f t="array" ref="P475">_xlfn.IFS(Computed_insight___Success_of_active_sellers__2[[#This Row],[rating]]&gt;=4.5, "Excellent ", Computed_insight___Success_of_active_sellers__2[[#This Row],[rating]]&gt;=4, "Good ", Computed_insight___Success_of_active_sellers__2[[#This Row],[rating]]&gt;=3.5, "Average", TRUE, "Poor ")</f>
        <v>Average</v>
      </c>
      <c r="Q475" s="2" t="str" cm="1">
        <f t="array" ref="Q47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75" s="2" t="str">
        <f>IF(Computed_insight___Success_of_active_sellers__2[[#This Row],[totalurgencycount]]&gt;0, "Has Banner", "No Banner")</f>
        <v>No Banner</v>
      </c>
    </row>
    <row r="476" spans="1:18" x14ac:dyDescent="0.3">
      <c r="A476">
        <v>474</v>
      </c>
      <c r="B476" t="s">
        <v>232</v>
      </c>
      <c r="C476">
        <v>1</v>
      </c>
      <c r="D476">
        <v>1000</v>
      </c>
      <c r="E476">
        <v>1000</v>
      </c>
      <c r="F476">
        <v>3.8969999999999998</v>
      </c>
      <c r="G476">
        <v>3743</v>
      </c>
      <c r="H476">
        <v>16</v>
      </c>
      <c r="I476">
        <v>59</v>
      </c>
      <c r="J476">
        <v>73</v>
      </c>
      <c r="K476">
        <v>73</v>
      </c>
      <c r="L476">
        <v>222</v>
      </c>
      <c r="O476" s="2" t="str" cm="1">
        <f t="array" ref="O47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76" s="2" t="str" cm="1">
        <f t="array" ref="P476">_xlfn.IFS(Computed_insight___Success_of_active_sellers__2[[#This Row],[rating]]&gt;=4.5, "Excellent ", Computed_insight___Success_of_active_sellers__2[[#This Row],[rating]]&gt;=4, "Good ", Computed_insight___Success_of_active_sellers__2[[#This Row],[rating]]&gt;=3.5, "Average", TRUE, "Poor ")</f>
        <v>Average</v>
      </c>
      <c r="Q476" s="2" t="str" cm="1">
        <f t="array" ref="Q47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76" s="2" t="str">
        <f>IF(Computed_insight___Success_of_active_sellers__2[[#This Row],[totalurgencycount]]&gt;0, "Has Banner", "No Banner")</f>
        <v>No Banner</v>
      </c>
    </row>
    <row r="477" spans="1:18" x14ac:dyDescent="0.3">
      <c r="A477">
        <v>475</v>
      </c>
      <c r="B477" t="s">
        <v>372</v>
      </c>
      <c r="C477">
        <v>1</v>
      </c>
      <c r="D477">
        <v>1000</v>
      </c>
      <c r="E477">
        <v>1000</v>
      </c>
      <c r="F477">
        <v>3.9</v>
      </c>
      <c r="G477">
        <v>4072</v>
      </c>
      <c r="H477">
        <v>8</v>
      </c>
      <c r="I477">
        <v>25</v>
      </c>
      <c r="J477">
        <v>68</v>
      </c>
      <c r="K477">
        <v>68</v>
      </c>
      <c r="L477">
        <v>220</v>
      </c>
      <c r="O477" s="2" t="str" cm="1">
        <f t="array" ref="O47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77" s="2" t="str" cm="1">
        <f t="array" ref="P477">_xlfn.IFS(Computed_insight___Success_of_active_sellers__2[[#This Row],[rating]]&gt;=4.5, "Excellent ", Computed_insight___Success_of_active_sellers__2[[#This Row],[rating]]&gt;=4, "Good ", Computed_insight___Success_of_active_sellers__2[[#This Row],[rating]]&gt;=3.5, "Average", TRUE, "Poor ")</f>
        <v>Average</v>
      </c>
      <c r="Q477" s="2" t="str" cm="1">
        <f t="array" ref="Q47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77" s="2" t="str">
        <f>IF(Computed_insight___Success_of_active_sellers__2[[#This Row],[totalurgencycount]]&gt;0, "Has Banner", "No Banner")</f>
        <v>No Banner</v>
      </c>
    </row>
    <row r="478" spans="1:18" x14ac:dyDescent="0.3">
      <c r="A478">
        <v>476</v>
      </c>
      <c r="B478" t="s">
        <v>167</v>
      </c>
      <c r="C478">
        <v>1</v>
      </c>
      <c r="D478">
        <v>1000</v>
      </c>
      <c r="E478">
        <v>1000</v>
      </c>
      <c r="F478">
        <v>3.9009999999999998</v>
      </c>
      <c r="G478">
        <v>892</v>
      </c>
      <c r="H478">
        <v>8</v>
      </c>
      <c r="I478">
        <v>17</v>
      </c>
      <c r="J478">
        <v>53</v>
      </c>
      <c r="K478">
        <v>53</v>
      </c>
      <c r="L478">
        <v>288</v>
      </c>
      <c r="O478" s="2" t="str" cm="1">
        <f t="array" ref="O47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78" s="2" t="str" cm="1">
        <f t="array" ref="P478">_xlfn.IFS(Computed_insight___Success_of_active_sellers__2[[#This Row],[rating]]&gt;=4.5, "Excellent ", Computed_insight___Success_of_active_sellers__2[[#This Row],[rating]]&gt;=4, "Good ", Computed_insight___Success_of_active_sellers__2[[#This Row],[rating]]&gt;=3.5, "Average", TRUE, "Poor ")</f>
        <v>Average</v>
      </c>
      <c r="Q478" s="2" t="str" cm="1">
        <f t="array" ref="Q47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78" s="2" t="str">
        <f>IF(Computed_insight___Success_of_active_sellers__2[[#This Row],[totalurgencycount]]&gt;0, "Has Banner", "No Banner")</f>
        <v>No Banner</v>
      </c>
    </row>
    <row r="479" spans="1:18" x14ac:dyDescent="0.3">
      <c r="A479">
        <v>477</v>
      </c>
      <c r="B479" t="s">
        <v>828</v>
      </c>
      <c r="C479">
        <v>1</v>
      </c>
      <c r="D479">
        <v>1000</v>
      </c>
      <c r="E479">
        <v>1000</v>
      </c>
      <c r="F479">
        <v>3.9049999999999998</v>
      </c>
      <c r="G479">
        <v>10320</v>
      </c>
      <c r="H479">
        <v>5</v>
      </c>
      <c r="I479">
        <v>5</v>
      </c>
      <c r="J479">
        <v>0</v>
      </c>
      <c r="K479">
        <v>0</v>
      </c>
      <c r="L479">
        <v>102</v>
      </c>
      <c r="M479">
        <v>1</v>
      </c>
      <c r="N479">
        <v>100</v>
      </c>
      <c r="O479" s="2" t="str" cm="1">
        <f t="array" ref="O47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79" s="2" t="str" cm="1">
        <f t="array" ref="P479">_xlfn.IFS(Computed_insight___Success_of_active_sellers__2[[#This Row],[rating]]&gt;=4.5, "Excellent ", Computed_insight___Success_of_active_sellers__2[[#This Row],[rating]]&gt;=4, "Good ", Computed_insight___Success_of_active_sellers__2[[#This Row],[rating]]&gt;=3.5, "Average", TRUE, "Poor ")</f>
        <v>Average</v>
      </c>
      <c r="Q479" s="2" t="str" cm="1">
        <f t="array" ref="Q47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79" s="2" t="str">
        <f>IF(Computed_insight___Success_of_active_sellers__2[[#This Row],[totalurgencycount]]&gt;0, "Has Banner", "No Banner")</f>
        <v>Has Banner</v>
      </c>
    </row>
    <row r="480" spans="1:18" x14ac:dyDescent="0.3">
      <c r="A480">
        <v>478</v>
      </c>
      <c r="B480" t="s">
        <v>859</v>
      </c>
      <c r="C480">
        <v>1</v>
      </c>
      <c r="D480">
        <v>1000</v>
      </c>
      <c r="E480">
        <v>1000</v>
      </c>
      <c r="F480">
        <v>3.907</v>
      </c>
      <c r="G480">
        <v>1722</v>
      </c>
      <c r="H480">
        <v>9</v>
      </c>
      <c r="I480">
        <v>8</v>
      </c>
      <c r="J480">
        <v>-12</v>
      </c>
      <c r="K480">
        <v>-12</v>
      </c>
      <c r="L480">
        <v>248</v>
      </c>
      <c r="O480" s="2" t="str" cm="1">
        <f t="array" ref="O48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80" s="2" t="str" cm="1">
        <f t="array" ref="P480">_xlfn.IFS(Computed_insight___Success_of_active_sellers__2[[#This Row],[rating]]&gt;=4.5, "Excellent ", Computed_insight___Success_of_active_sellers__2[[#This Row],[rating]]&gt;=4, "Good ", Computed_insight___Success_of_active_sellers__2[[#This Row],[rating]]&gt;=3.5, "Average", TRUE, "Poor ")</f>
        <v>Average</v>
      </c>
      <c r="Q480" s="2" t="str" cm="1">
        <f t="array" ref="Q48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80" s="2" t="str">
        <f>IF(Computed_insight___Success_of_active_sellers__2[[#This Row],[totalurgencycount]]&gt;0, "Has Banner", "No Banner")</f>
        <v>No Banner</v>
      </c>
    </row>
    <row r="481" spans="1:18" x14ac:dyDescent="0.3">
      <c r="A481">
        <v>479</v>
      </c>
      <c r="B481" t="s">
        <v>636</v>
      </c>
      <c r="C481">
        <v>1</v>
      </c>
      <c r="D481">
        <v>1000</v>
      </c>
      <c r="E481">
        <v>1000</v>
      </c>
      <c r="F481">
        <v>3.91</v>
      </c>
      <c r="G481">
        <v>3119</v>
      </c>
      <c r="H481">
        <v>2</v>
      </c>
      <c r="I481">
        <v>56</v>
      </c>
      <c r="J481">
        <v>97</v>
      </c>
      <c r="K481">
        <v>97</v>
      </c>
      <c r="L481">
        <v>41</v>
      </c>
      <c r="O481" s="2" t="str" cm="1">
        <f t="array" ref="O48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81" s="2" t="str" cm="1">
        <f t="array" ref="P481">_xlfn.IFS(Computed_insight___Success_of_active_sellers__2[[#This Row],[rating]]&gt;=4.5, "Excellent ", Computed_insight___Success_of_active_sellers__2[[#This Row],[rating]]&gt;=4, "Good ", Computed_insight___Success_of_active_sellers__2[[#This Row],[rating]]&gt;=3.5, "Average", TRUE, "Poor ")</f>
        <v>Average</v>
      </c>
      <c r="Q481" s="2" t="str" cm="1">
        <f t="array" ref="Q48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81" s="2" t="str">
        <f>IF(Computed_insight___Success_of_active_sellers__2[[#This Row],[totalurgencycount]]&gt;0, "Has Banner", "No Banner")</f>
        <v>No Banner</v>
      </c>
    </row>
    <row r="482" spans="1:18" x14ac:dyDescent="0.3">
      <c r="A482">
        <v>480</v>
      </c>
      <c r="B482" t="s">
        <v>386</v>
      </c>
      <c r="C482">
        <v>1</v>
      </c>
      <c r="D482">
        <v>1000</v>
      </c>
      <c r="E482">
        <v>1000</v>
      </c>
      <c r="F482">
        <v>3.9119999999999999</v>
      </c>
      <c r="G482">
        <v>4136</v>
      </c>
      <c r="H482">
        <v>8</v>
      </c>
      <c r="I482">
        <v>72</v>
      </c>
      <c r="J482">
        <v>89</v>
      </c>
      <c r="K482">
        <v>89</v>
      </c>
      <c r="L482">
        <v>153</v>
      </c>
      <c r="O482" s="2" t="str" cm="1">
        <f t="array" ref="O48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82" s="2" t="str" cm="1">
        <f t="array" ref="P482">_xlfn.IFS(Computed_insight___Success_of_active_sellers__2[[#This Row],[rating]]&gt;=4.5, "Excellent ", Computed_insight___Success_of_active_sellers__2[[#This Row],[rating]]&gt;=4, "Good ", Computed_insight___Success_of_active_sellers__2[[#This Row],[rating]]&gt;=3.5, "Average", TRUE, "Poor ")</f>
        <v>Average</v>
      </c>
      <c r="Q482" s="2" t="str" cm="1">
        <f t="array" ref="Q48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82" s="2" t="str">
        <f>IF(Computed_insight___Success_of_active_sellers__2[[#This Row],[totalurgencycount]]&gt;0, "Has Banner", "No Banner")</f>
        <v>No Banner</v>
      </c>
    </row>
    <row r="483" spans="1:18" x14ac:dyDescent="0.3">
      <c r="A483">
        <v>481</v>
      </c>
      <c r="B483" t="s">
        <v>896</v>
      </c>
      <c r="C483">
        <v>1</v>
      </c>
      <c r="D483">
        <v>1000</v>
      </c>
      <c r="E483">
        <v>1000</v>
      </c>
      <c r="F483">
        <v>3.931</v>
      </c>
      <c r="G483">
        <v>331</v>
      </c>
      <c r="H483">
        <v>7</v>
      </c>
      <c r="I483">
        <v>6</v>
      </c>
      <c r="J483">
        <v>-16</v>
      </c>
      <c r="K483">
        <v>-16</v>
      </c>
      <c r="L483">
        <v>68</v>
      </c>
      <c r="O483" s="2" t="str" cm="1">
        <f t="array" ref="O48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83" s="2" t="str" cm="1">
        <f t="array" ref="P483">_xlfn.IFS(Computed_insight___Success_of_active_sellers__2[[#This Row],[rating]]&gt;=4.5, "Excellent ", Computed_insight___Success_of_active_sellers__2[[#This Row],[rating]]&gt;=4, "Good ", Computed_insight___Success_of_active_sellers__2[[#This Row],[rating]]&gt;=3.5, "Average", TRUE, "Poor ")</f>
        <v>Average</v>
      </c>
      <c r="Q483" s="2" t="str" cm="1">
        <f t="array" ref="Q48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83" s="2" t="str">
        <f>IF(Computed_insight___Success_of_active_sellers__2[[#This Row],[totalurgencycount]]&gt;0, "Has Banner", "No Banner")</f>
        <v>No Banner</v>
      </c>
    </row>
    <row r="484" spans="1:18" x14ac:dyDescent="0.3">
      <c r="A484">
        <v>482</v>
      </c>
      <c r="B484" t="s">
        <v>830</v>
      </c>
      <c r="C484">
        <v>1</v>
      </c>
      <c r="D484">
        <v>1000</v>
      </c>
      <c r="E484">
        <v>1000</v>
      </c>
      <c r="F484">
        <v>3.9319999999999999</v>
      </c>
      <c r="G484">
        <v>543</v>
      </c>
      <c r="H484">
        <v>11</v>
      </c>
      <c r="I484">
        <v>10</v>
      </c>
      <c r="J484">
        <v>-10</v>
      </c>
      <c r="K484">
        <v>-10</v>
      </c>
      <c r="L484">
        <v>212</v>
      </c>
      <c r="O484" s="2" t="str" cm="1">
        <f t="array" ref="O48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84" s="2" t="str" cm="1">
        <f t="array" ref="P484">_xlfn.IFS(Computed_insight___Success_of_active_sellers__2[[#This Row],[rating]]&gt;=4.5, "Excellent ", Computed_insight___Success_of_active_sellers__2[[#This Row],[rating]]&gt;=4, "Good ", Computed_insight___Success_of_active_sellers__2[[#This Row],[rating]]&gt;=3.5, "Average", TRUE, "Poor ")</f>
        <v>Average</v>
      </c>
      <c r="Q484" s="2" t="str" cm="1">
        <f t="array" ref="Q48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84" s="2" t="str">
        <f>IF(Computed_insight___Success_of_active_sellers__2[[#This Row],[totalurgencycount]]&gt;0, "Has Banner", "No Banner")</f>
        <v>No Banner</v>
      </c>
    </row>
    <row r="485" spans="1:18" x14ac:dyDescent="0.3">
      <c r="A485">
        <v>483</v>
      </c>
      <c r="B485" t="s">
        <v>601</v>
      </c>
      <c r="C485">
        <v>1</v>
      </c>
      <c r="D485">
        <v>1000</v>
      </c>
      <c r="E485">
        <v>1000</v>
      </c>
      <c r="F485">
        <v>3.9359999999999999</v>
      </c>
      <c r="G485">
        <v>17738</v>
      </c>
      <c r="H485">
        <v>6</v>
      </c>
      <c r="I485">
        <v>6</v>
      </c>
      <c r="J485">
        <v>0</v>
      </c>
      <c r="K485">
        <v>0</v>
      </c>
      <c r="L485">
        <v>352</v>
      </c>
      <c r="O485" s="2" t="str" cm="1">
        <f t="array" ref="O48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85" s="2" t="str" cm="1">
        <f t="array" ref="P485">_xlfn.IFS(Computed_insight___Success_of_active_sellers__2[[#This Row],[rating]]&gt;=4.5, "Excellent ", Computed_insight___Success_of_active_sellers__2[[#This Row],[rating]]&gt;=4, "Good ", Computed_insight___Success_of_active_sellers__2[[#This Row],[rating]]&gt;=3.5, "Average", TRUE, "Poor ")</f>
        <v>Average</v>
      </c>
      <c r="Q485" s="2" t="str" cm="1">
        <f t="array" ref="Q48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85" s="2" t="str">
        <f>IF(Computed_insight___Success_of_active_sellers__2[[#This Row],[totalurgencycount]]&gt;0, "Has Banner", "No Banner")</f>
        <v>No Banner</v>
      </c>
    </row>
    <row r="486" spans="1:18" x14ac:dyDescent="0.3">
      <c r="A486">
        <v>484</v>
      </c>
      <c r="B486" t="s">
        <v>731</v>
      </c>
      <c r="C486">
        <v>1</v>
      </c>
      <c r="D486">
        <v>1000</v>
      </c>
      <c r="E486">
        <v>1000</v>
      </c>
      <c r="F486">
        <v>3.9390000000000001</v>
      </c>
      <c r="G486">
        <v>905</v>
      </c>
      <c r="H486">
        <v>8</v>
      </c>
      <c r="I486">
        <v>34</v>
      </c>
      <c r="J486">
        <v>77</v>
      </c>
      <c r="K486">
        <v>77</v>
      </c>
      <c r="L486">
        <v>429</v>
      </c>
      <c r="O486" s="2" t="str" cm="1">
        <f t="array" ref="O48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86" s="2" t="str" cm="1">
        <f t="array" ref="P486">_xlfn.IFS(Computed_insight___Success_of_active_sellers__2[[#This Row],[rating]]&gt;=4.5, "Excellent ", Computed_insight___Success_of_active_sellers__2[[#This Row],[rating]]&gt;=4, "Good ", Computed_insight___Success_of_active_sellers__2[[#This Row],[rating]]&gt;=3.5, "Average", TRUE, "Poor ")</f>
        <v>Average</v>
      </c>
      <c r="Q486" s="2" t="str" cm="1">
        <f t="array" ref="Q48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86" s="2" t="str">
        <f>IF(Computed_insight___Success_of_active_sellers__2[[#This Row],[totalurgencycount]]&gt;0, "Has Banner", "No Banner")</f>
        <v>No Banner</v>
      </c>
    </row>
    <row r="487" spans="1:18" x14ac:dyDescent="0.3">
      <c r="A487">
        <v>485</v>
      </c>
      <c r="B487" t="s">
        <v>335</v>
      </c>
      <c r="C487">
        <v>1</v>
      </c>
      <c r="D487">
        <v>1000</v>
      </c>
      <c r="E487">
        <v>1000</v>
      </c>
      <c r="F487">
        <v>3.94</v>
      </c>
      <c r="G487">
        <v>16527</v>
      </c>
      <c r="H487">
        <v>9</v>
      </c>
      <c r="I487">
        <v>9</v>
      </c>
      <c r="J487">
        <v>0</v>
      </c>
      <c r="K487">
        <v>0</v>
      </c>
      <c r="L487">
        <v>129</v>
      </c>
      <c r="O487" s="2" t="str" cm="1">
        <f t="array" ref="O48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87" s="2" t="str" cm="1">
        <f t="array" ref="P487">_xlfn.IFS(Computed_insight___Success_of_active_sellers__2[[#This Row],[rating]]&gt;=4.5, "Excellent ", Computed_insight___Success_of_active_sellers__2[[#This Row],[rating]]&gt;=4, "Good ", Computed_insight___Success_of_active_sellers__2[[#This Row],[rating]]&gt;=3.5, "Average", TRUE, "Poor ")</f>
        <v>Average</v>
      </c>
      <c r="Q487" s="2" t="str" cm="1">
        <f t="array" ref="Q48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87" s="2" t="str">
        <f>IF(Computed_insight___Success_of_active_sellers__2[[#This Row],[totalurgencycount]]&gt;0, "Has Banner", "No Banner")</f>
        <v>No Banner</v>
      </c>
    </row>
    <row r="488" spans="1:18" x14ac:dyDescent="0.3">
      <c r="A488">
        <v>486</v>
      </c>
      <c r="B488" t="s">
        <v>154</v>
      </c>
      <c r="C488">
        <v>1</v>
      </c>
      <c r="D488">
        <v>1000</v>
      </c>
      <c r="E488">
        <v>1000</v>
      </c>
      <c r="F488">
        <v>3.9420000000000002</v>
      </c>
      <c r="G488">
        <v>171</v>
      </c>
      <c r="H488">
        <v>13</v>
      </c>
      <c r="I488">
        <v>19</v>
      </c>
      <c r="J488">
        <v>32</v>
      </c>
      <c r="K488">
        <v>32</v>
      </c>
      <c r="L488">
        <v>151</v>
      </c>
      <c r="M488">
        <v>1</v>
      </c>
      <c r="N488">
        <v>100</v>
      </c>
      <c r="O488" s="2" t="str" cm="1">
        <f t="array" ref="O48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88" s="2" t="str" cm="1">
        <f t="array" ref="P488">_xlfn.IFS(Computed_insight___Success_of_active_sellers__2[[#This Row],[rating]]&gt;=4.5, "Excellent ", Computed_insight___Success_of_active_sellers__2[[#This Row],[rating]]&gt;=4, "Good ", Computed_insight___Success_of_active_sellers__2[[#This Row],[rating]]&gt;=3.5, "Average", TRUE, "Poor ")</f>
        <v>Average</v>
      </c>
      <c r="Q488" s="2" t="str" cm="1">
        <f t="array" ref="Q488">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488" s="2" t="str">
        <f>IF(Computed_insight___Success_of_active_sellers__2[[#This Row],[totalurgencycount]]&gt;0, "Has Banner", "No Banner")</f>
        <v>Has Banner</v>
      </c>
    </row>
    <row r="489" spans="1:18" x14ac:dyDescent="0.3">
      <c r="A489">
        <v>487</v>
      </c>
      <c r="B489" t="s">
        <v>151</v>
      </c>
      <c r="C489">
        <v>1</v>
      </c>
      <c r="D489">
        <v>1000</v>
      </c>
      <c r="E489">
        <v>1000</v>
      </c>
      <c r="F489">
        <v>3.9420000000000002</v>
      </c>
      <c r="G489">
        <v>365</v>
      </c>
      <c r="H489">
        <v>1.68</v>
      </c>
      <c r="I489">
        <v>2</v>
      </c>
      <c r="J489">
        <v>16</v>
      </c>
      <c r="K489">
        <v>16</v>
      </c>
      <c r="L489">
        <v>51</v>
      </c>
      <c r="M489">
        <v>1</v>
      </c>
      <c r="N489">
        <v>100</v>
      </c>
      <c r="O489" s="2" t="str" cm="1">
        <f t="array" ref="O48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89" s="2" t="str" cm="1">
        <f t="array" ref="P489">_xlfn.IFS(Computed_insight___Success_of_active_sellers__2[[#This Row],[rating]]&gt;=4.5, "Excellent ", Computed_insight___Success_of_active_sellers__2[[#This Row],[rating]]&gt;=4, "Good ", Computed_insight___Success_of_active_sellers__2[[#This Row],[rating]]&gt;=3.5, "Average", TRUE, "Poor ")</f>
        <v>Average</v>
      </c>
      <c r="Q489" s="2" t="str" cm="1">
        <f t="array" ref="Q489">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489" s="2" t="str">
        <f>IF(Computed_insight___Success_of_active_sellers__2[[#This Row],[totalurgencycount]]&gt;0, "Has Banner", "No Banner")</f>
        <v>Has Banner</v>
      </c>
    </row>
    <row r="490" spans="1:18" x14ac:dyDescent="0.3">
      <c r="A490">
        <v>488</v>
      </c>
      <c r="B490" t="s">
        <v>597</v>
      </c>
      <c r="C490">
        <v>1</v>
      </c>
      <c r="D490">
        <v>1000</v>
      </c>
      <c r="E490">
        <v>1000</v>
      </c>
      <c r="F490">
        <v>3.9489999999999998</v>
      </c>
      <c r="G490">
        <v>1335</v>
      </c>
      <c r="H490">
        <v>15</v>
      </c>
      <c r="I490">
        <v>25</v>
      </c>
      <c r="J490">
        <v>40</v>
      </c>
      <c r="K490">
        <v>40</v>
      </c>
      <c r="L490">
        <v>408</v>
      </c>
      <c r="O490" s="2" t="str" cm="1">
        <f t="array" ref="O49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90" s="2" t="str" cm="1">
        <f t="array" ref="P490">_xlfn.IFS(Computed_insight___Success_of_active_sellers__2[[#This Row],[rating]]&gt;=4.5, "Excellent ", Computed_insight___Success_of_active_sellers__2[[#This Row],[rating]]&gt;=4, "Good ", Computed_insight___Success_of_active_sellers__2[[#This Row],[rating]]&gt;=3.5, "Average", TRUE, "Poor ")</f>
        <v>Average</v>
      </c>
      <c r="Q490" s="2" t="str" cm="1">
        <f t="array" ref="Q490">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490" s="2" t="str">
        <f>IF(Computed_insight___Success_of_active_sellers__2[[#This Row],[totalurgencycount]]&gt;0, "Has Banner", "No Banner")</f>
        <v>No Banner</v>
      </c>
    </row>
    <row r="491" spans="1:18" x14ac:dyDescent="0.3">
      <c r="A491">
        <v>489</v>
      </c>
      <c r="B491" t="s">
        <v>783</v>
      </c>
      <c r="C491">
        <v>1</v>
      </c>
      <c r="D491">
        <v>1000</v>
      </c>
      <c r="E491">
        <v>1000</v>
      </c>
      <c r="F491">
        <v>3.95</v>
      </c>
      <c r="G491">
        <v>2685</v>
      </c>
      <c r="H491">
        <v>6</v>
      </c>
      <c r="I491">
        <v>7</v>
      </c>
      <c r="J491">
        <v>15</v>
      </c>
      <c r="K491">
        <v>15</v>
      </c>
      <c r="L491">
        <v>258</v>
      </c>
      <c r="M491">
        <v>1</v>
      </c>
      <c r="N491">
        <v>100</v>
      </c>
      <c r="O491" s="2" t="str" cm="1">
        <f t="array" ref="O49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91" s="2" t="str" cm="1">
        <f t="array" ref="P491">_xlfn.IFS(Computed_insight___Success_of_active_sellers__2[[#This Row],[rating]]&gt;=4.5, "Excellent ", Computed_insight___Success_of_active_sellers__2[[#This Row],[rating]]&gt;=4, "Good ", Computed_insight___Success_of_active_sellers__2[[#This Row],[rating]]&gt;=3.5, "Average", TRUE, "Poor ")</f>
        <v>Average</v>
      </c>
      <c r="Q491" s="2" t="str" cm="1">
        <f t="array" ref="Q491">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491" s="2" t="str">
        <f>IF(Computed_insight___Success_of_active_sellers__2[[#This Row],[totalurgencycount]]&gt;0, "Has Banner", "No Banner")</f>
        <v>Has Banner</v>
      </c>
    </row>
    <row r="492" spans="1:18" x14ac:dyDescent="0.3">
      <c r="A492">
        <v>490</v>
      </c>
      <c r="B492" t="s">
        <v>872</v>
      </c>
      <c r="C492">
        <v>1</v>
      </c>
      <c r="D492">
        <v>1000</v>
      </c>
      <c r="E492">
        <v>1000</v>
      </c>
      <c r="F492">
        <v>3.9510000000000001</v>
      </c>
      <c r="G492">
        <v>14780</v>
      </c>
      <c r="H492">
        <v>8</v>
      </c>
      <c r="I492">
        <v>252</v>
      </c>
      <c r="J492">
        <v>97</v>
      </c>
      <c r="K492">
        <v>97</v>
      </c>
      <c r="L492">
        <v>161</v>
      </c>
      <c r="O492" s="2" t="str" cm="1">
        <f t="array" ref="O49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92" s="2" t="str" cm="1">
        <f t="array" ref="P492">_xlfn.IFS(Computed_insight___Success_of_active_sellers__2[[#This Row],[rating]]&gt;=4.5, "Excellent ", Computed_insight___Success_of_active_sellers__2[[#This Row],[rating]]&gt;=4, "Good ", Computed_insight___Success_of_active_sellers__2[[#This Row],[rating]]&gt;=3.5, "Average", TRUE, "Poor ")</f>
        <v>Average</v>
      </c>
      <c r="Q492" s="2" t="str" cm="1">
        <f t="array" ref="Q49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92" s="2" t="str">
        <f>IF(Computed_insight___Success_of_active_sellers__2[[#This Row],[totalurgencycount]]&gt;0, "Has Banner", "No Banner")</f>
        <v>No Banner</v>
      </c>
    </row>
    <row r="493" spans="1:18" x14ac:dyDescent="0.3">
      <c r="A493">
        <v>491</v>
      </c>
      <c r="B493" t="s">
        <v>945</v>
      </c>
      <c r="C493">
        <v>1</v>
      </c>
      <c r="D493">
        <v>1000</v>
      </c>
      <c r="E493">
        <v>1000</v>
      </c>
      <c r="F493">
        <v>3.9590000000000001</v>
      </c>
      <c r="G493">
        <v>193</v>
      </c>
      <c r="H493">
        <v>2.69</v>
      </c>
      <c r="I493">
        <v>3</v>
      </c>
      <c r="J493">
        <v>11</v>
      </c>
      <c r="K493">
        <v>11</v>
      </c>
      <c r="L493">
        <v>74</v>
      </c>
      <c r="O493" s="2" t="str" cm="1">
        <f t="array" ref="O49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93" s="2" t="str" cm="1">
        <f t="array" ref="P493">_xlfn.IFS(Computed_insight___Success_of_active_sellers__2[[#This Row],[rating]]&gt;=4.5, "Excellent ", Computed_insight___Success_of_active_sellers__2[[#This Row],[rating]]&gt;=4, "Good ", Computed_insight___Success_of_active_sellers__2[[#This Row],[rating]]&gt;=3.5, "Average", TRUE, "Poor ")</f>
        <v>Average</v>
      </c>
      <c r="Q493" s="2" t="str" cm="1">
        <f t="array" ref="Q493">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493" s="2" t="str">
        <f>IF(Computed_insight___Success_of_active_sellers__2[[#This Row],[totalurgencycount]]&gt;0, "Has Banner", "No Banner")</f>
        <v>No Banner</v>
      </c>
    </row>
    <row r="494" spans="1:18" x14ac:dyDescent="0.3">
      <c r="A494">
        <v>492</v>
      </c>
      <c r="B494" t="s">
        <v>739</v>
      </c>
      <c r="C494">
        <v>1</v>
      </c>
      <c r="D494">
        <v>1000</v>
      </c>
      <c r="E494">
        <v>1000</v>
      </c>
      <c r="F494">
        <v>3.96</v>
      </c>
      <c r="G494">
        <v>40457</v>
      </c>
      <c r="H494">
        <v>14</v>
      </c>
      <c r="I494">
        <v>12</v>
      </c>
      <c r="J494">
        <v>-16</v>
      </c>
      <c r="K494">
        <v>-16</v>
      </c>
      <c r="L494">
        <v>548</v>
      </c>
      <c r="M494">
        <v>1</v>
      </c>
      <c r="N494">
        <v>100</v>
      </c>
      <c r="O494" s="2" t="str" cm="1">
        <f t="array" ref="O49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94" s="2" t="str" cm="1">
        <f t="array" ref="P494">_xlfn.IFS(Computed_insight___Success_of_active_sellers__2[[#This Row],[rating]]&gt;=4.5, "Excellent ", Computed_insight___Success_of_active_sellers__2[[#This Row],[rating]]&gt;=4, "Good ", Computed_insight___Success_of_active_sellers__2[[#This Row],[rating]]&gt;=3.5, "Average", TRUE, "Poor ")</f>
        <v>Average</v>
      </c>
      <c r="Q494" s="2" t="str" cm="1">
        <f t="array" ref="Q49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94" s="2" t="str">
        <f>IF(Computed_insight___Success_of_active_sellers__2[[#This Row],[totalurgencycount]]&gt;0, "Has Banner", "No Banner")</f>
        <v>Has Banner</v>
      </c>
    </row>
    <row r="495" spans="1:18" x14ac:dyDescent="0.3">
      <c r="A495">
        <v>493</v>
      </c>
      <c r="B495" t="s">
        <v>858</v>
      </c>
      <c r="C495">
        <v>1</v>
      </c>
      <c r="D495">
        <v>1000</v>
      </c>
      <c r="E495">
        <v>1000</v>
      </c>
      <c r="F495">
        <v>3.9649999999999999</v>
      </c>
      <c r="G495">
        <v>16757</v>
      </c>
      <c r="H495">
        <v>7</v>
      </c>
      <c r="I495">
        <v>6</v>
      </c>
      <c r="J495">
        <v>-16</v>
      </c>
      <c r="K495">
        <v>-16</v>
      </c>
      <c r="L495">
        <v>601</v>
      </c>
      <c r="O495" s="2" t="str" cm="1">
        <f t="array" ref="O49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95" s="2" t="str" cm="1">
        <f t="array" ref="P495">_xlfn.IFS(Computed_insight___Success_of_active_sellers__2[[#This Row],[rating]]&gt;=4.5, "Excellent ", Computed_insight___Success_of_active_sellers__2[[#This Row],[rating]]&gt;=4, "Good ", Computed_insight___Success_of_active_sellers__2[[#This Row],[rating]]&gt;=3.5, "Average", TRUE, "Poor ")</f>
        <v>Average</v>
      </c>
      <c r="Q495" s="2" t="str" cm="1">
        <f t="array" ref="Q49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95" s="2" t="str">
        <f>IF(Computed_insight___Success_of_active_sellers__2[[#This Row],[totalurgencycount]]&gt;0, "Has Banner", "No Banner")</f>
        <v>No Banner</v>
      </c>
    </row>
    <row r="496" spans="1:18" x14ac:dyDescent="0.3">
      <c r="A496">
        <v>494</v>
      </c>
      <c r="B496" t="s">
        <v>363</v>
      </c>
      <c r="C496">
        <v>1</v>
      </c>
      <c r="D496">
        <v>1000</v>
      </c>
      <c r="E496">
        <v>1000</v>
      </c>
      <c r="F496">
        <v>3.9670000000000001</v>
      </c>
      <c r="G496">
        <v>12763</v>
      </c>
      <c r="H496">
        <v>7</v>
      </c>
      <c r="I496">
        <v>50</v>
      </c>
      <c r="J496">
        <v>86</v>
      </c>
      <c r="K496">
        <v>86</v>
      </c>
      <c r="L496">
        <v>408</v>
      </c>
      <c r="M496">
        <v>1</v>
      </c>
      <c r="N496">
        <v>100</v>
      </c>
      <c r="O496" s="2" t="str" cm="1">
        <f t="array" ref="O49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96" s="2" t="str" cm="1">
        <f t="array" ref="P496">_xlfn.IFS(Computed_insight___Success_of_active_sellers__2[[#This Row],[rating]]&gt;=4.5, "Excellent ", Computed_insight___Success_of_active_sellers__2[[#This Row],[rating]]&gt;=4, "Good ", Computed_insight___Success_of_active_sellers__2[[#This Row],[rating]]&gt;=3.5, "Average", TRUE, "Poor ")</f>
        <v>Average</v>
      </c>
      <c r="Q496" s="2" t="str" cm="1">
        <f t="array" ref="Q49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96" s="2" t="str">
        <f>IF(Computed_insight___Success_of_active_sellers__2[[#This Row],[totalurgencycount]]&gt;0, "Has Banner", "No Banner")</f>
        <v>Has Banner</v>
      </c>
    </row>
    <row r="497" spans="1:18" x14ac:dyDescent="0.3">
      <c r="A497">
        <v>495</v>
      </c>
      <c r="B497" t="s">
        <v>708</v>
      </c>
      <c r="C497">
        <v>1</v>
      </c>
      <c r="D497">
        <v>1000</v>
      </c>
      <c r="E497">
        <v>1000</v>
      </c>
      <c r="F497">
        <v>3.97</v>
      </c>
      <c r="G497">
        <v>6457</v>
      </c>
      <c r="H497">
        <v>6</v>
      </c>
      <c r="I497">
        <v>23</v>
      </c>
      <c r="J497">
        <v>74</v>
      </c>
      <c r="K497">
        <v>74</v>
      </c>
      <c r="L497">
        <v>251</v>
      </c>
      <c r="O497" s="2" t="str" cm="1">
        <f t="array" ref="O49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97" s="2" t="str" cm="1">
        <f t="array" ref="P497">_xlfn.IFS(Computed_insight___Success_of_active_sellers__2[[#This Row],[rating]]&gt;=4.5, "Excellent ", Computed_insight___Success_of_active_sellers__2[[#This Row],[rating]]&gt;=4, "Good ", Computed_insight___Success_of_active_sellers__2[[#This Row],[rating]]&gt;=3.5, "Average", TRUE, "Poor ")</f>
        <v>Average</v>
      </c>
      <c r="Q497" s="2" t="str" cm="1">
        <f t="array" ref="Q49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497" s="2" t="str">
        <f>IF(Computed_insight___Success_of_active_sellers__2[[#This Row],[totalurgencycount]]&gt;0, "Has Banner", "No Banner")</f>
        <v>No Banner</v>
      </c>
    </row>
    <row r="498" spans="1:18" x14ac:dyDescent="0.3">
      <c r="A498">
        <v>496</v>
      </c>
      <c r="B498" t="s">
        <v>703</v>
      </c>
      <c r="C498">
        <v>1</v>
      </c>
      <c r="D498">
        <v>1000</v>
      </c>
      <c r="E498">
        <v>1000</v>
      </c>
      <c r="F498">
        <v>3.9729999999999999</v>
      </c>
      <c r="G498">
        <v>1653</v>
      </c>
      <c r="H498">
        <v>8</v>
      </c>
      <c r="I498">
        <v>7</v>
      </c>
      <c r="J498">
        <v>-14</v>
      </c>
      <c r="K498">
        <v>-14</v>
      </c>
      <c r="L498">
        <v>161</v>
      </c>
      <c r="O498" s="2" t="str" cm="1">
        <f t="array" ref="O49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98" s="2" t="str" cm="1">
        <f t="array" ref="P498">_xlfn.IFS(Computed_insight___Success_of_active_sellers__2[[#This Row],[rating]]&gt;=4.5, "Excellent ", Computed_insight___Success_of_active_sellers__2[[#This Row],[rating]]&gt;=4, "Good ", Computed_insight___Success_of_active_sellers__2[[#This Row],[rating]]&gt;=3.5, "Average", TRUE, "Poor ")</f>
        <v>Average</v>
      </c>
      <c r="Q498" s="2" t="str" cm="1">
        <f t="array" ref="Q49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98" s="2" t="str">
        <f>IF(Computed_insight___Success_of_active_sellers__2[[#This Row],[totalurgencycount]]&gt;0, "Has Banner", "No Banner")</f>
        <v>No Banner</v>
      </c>
    </row>
    <row r="499" spans="1:18" x14ac:dyDescent="0.3">
      <c r="A499">
        <v>497</v>
      </c>
      <c r="B499" t="s">
        <v>723</v>
      </c>
      <c r="C499">
        <v>1</v>
      </c>
      <c r="D499">
        <v>1000</v>
      </c>
      <c r="E499">
        <v>1000</v>
      </c>
      <c r="F499">
        <v>3.9790000000000001</v>
      </c>
      <c r="G499">
        <v>3670</v>
      </c>
      <c r="H499">
        <v>13</v>
      </c>
      <c r="I499">
        <v>11</v>
      </c>
      <c r="J499">
        <v>-18</v>
      </c>
      <c r="K499">
        <v>-18</v>
      </c>
      <c r="L499">
        <v>487</v>
      </c>
      <c r="O499" s="2" t="str" cm="1">
        <f t="array" ref="O49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499" s="2" t="str" cm="1">
        <f t="array" ref="P499">_xlfn.IFS(Computed_insight___Success_of_active_sellers__2[[#This Row],[rating]]&gt;=4.5, "Excellent ", Computed_insight___Success_of_active_sellers__2[[#This Row],[rating]]&gt;=4, "Good ", Computed_insight___Success_of_active_sellers__2[[#This Row],[rating]]&gt;=3.5, "Average", TRUE, "Poor ")</f>
        <v>Average</v>
      </c>
      <c r="Q499" s="2" t="str" cm="1">
        <f t="array" ref="Q49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499" s="2" t="str">
        <f>IF(Computed_insight___Success_of_active_sellers__2[[#This Row],[totalurgencycount]]&gt;0, "Has Banner", "No Banner")</f>
        <v>No Banner</v>
      </c>
    </row>
    <row r="500" spans="1:18" x14ac:dyDescent="0.3">
      <c r="A500">
        <v>498</v>
      </c>
      <c r="B500" t="s">
        <v>605</v>
      </c>
      <c r="C500">
        <v>1</v>
      </c>
      <c r="D500">
        <v>1000</v>
      </c>
      <c r="E500">
        <v>1000</v>
      </c>
      <c r="F500">
        <v>3.9790000000000001</v>
      </c>
      <c r="G500">
        <v>18831</v>
      </c>
      <c r="H500">
        <v>12</v>
      </c>
      <c r="I500">
        <v>11</v>
      </c>
      <c r="J500">
        <v>-9</v>
      </c>
      <c r="K500">
        <v>-9</v>
      </c>
      <c r="L500">
        <v>428</v>
      </c>
      <c r="M500">
        <v>1</v>
      </c>
      <c r="N500">
        <v>100</v>
      </c>
      <c r="O500" s="2" t="str" cm="1">
        <f t="array" ref="O50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00" s="2" t="str" cm="1">
        <f t="array" ref="P500">_xlfn.IFS(Computed_insight___Success_of_active_sellers__2[[#This Row],[rating]]&gt;=4.5, "Excellent ", Computed_insight___Success_of_active_sellers__2[[#This Row],[rating]]&gt;=4, "Good ", Computed_insight___Success_of_active_sellers__2[[#This Row],[rating]]&gt;=3.5, "Average", TRUE, "Poor ")</f>
        <v>Average</v>
      </c>
      <c r="Q500" s="2" t="str" cm="1">
        <f t="array" ref="Q50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00" s="2" t="str">
        <f>IF(Computed_insight___Success_of_active_sellers__2[[#This Row],[totalurgencycount]]&gt;0, "Has Banner", "No Banner")</f>
        <v>Has Banner</v>
      </c>
    </row>
    <row r="501" spans="1:18" x14ac:dyDescent="0.3">
      <c r="A501">
        <v>499</v>
      </c>
      <c r="B501" t="s">
        <v>421</v>
      </c>
      <c r="C501">
        <v>1</v>
      </c>
      <c r="D501">
        <v>1000</v>
      </c>
      <c r="E501">
        <v>1000</v>
      </c>
      <c r="F501">
        <v>3.9820000000000002</v>
      </c>
      <c r="G501">
        <v>33303</v>
      </c>
      <c r="H501">
        <v>11</v>
      </c>
      <c r="I501">
        <v>21</v>
      </c>
      <c r="J501">
        <v>48</v>
      </c>
      <c r="K501">
        <v>48</v>
      </c>
      <c r="L501">
        <v>545</v>
      </c>
      <c r="M501">
        <v>1</v>
      </c>
      <c r="N501">
        <v>100</v>
      </c>
      <c r="O501" s="2" t="str" cm="1">
        <f t="array" ref="O50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01" s="2" t="str" cm="1">
        <f t="array" ref="P501">_xlfn.IFS(Computed_insight___Success_of_active_sellers__2[[#This Row],[rating]]&gt;=4.5, "Excellent ", Computed_insight___Success_of_active_sellers__2[[#This Row],[rating]]&gt;=4, "Good ", Computed_insight___Success_of_active_sellers__2[[#This Row],[rating]]&gt;=3.5, "Average", TRUE, "Poor ")</f>
        <v>Average</v>
      </c>
      <c r="Q501" s="2" t="str" cm="1">
        <f t="array" ref="Q501">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501" s="2" t="str">
        <f>IF(Computed_insight___Success_of_active_sellers__2[[#This Row],[totalurgencycount]]&gt;0, "Has Banner", "No Banner")</f>
        <v>Has Banner</v>
      </c>
    </row>
    <row r="502" spans="1:18" x14ac:dyDescent="0.3">
      <c r="A502">
        <v>500</v>
      </c>
      <c r="B502" t="s">
        <v>922</v>
      </c>
      <c r="C502">
        <v>1</v>
      </c>
      <c r="D502">
        <v>1000</v>
      </c>
      <c r="E502">
        <v>1000</v>
      </c>
      <c r="F502">
        <v>3.9830000000000001</v>
      </c>
      <c r="G502">
        <v>1012</v>
      </c>
      <c r="H502">
        <v>3.81</v>
      </c>
      <c r="I502">
        <v>4</v>
      </c>
      <c r="J502">
        <v>5</v>
      </c>
      <c r="K502">
        <v>5</v>
      </c>
      <c r="L502">
        <v>101</v>
      </c>
      <c r="O502" s="2" t="str" cm="1">
        <f t="array" ref="O50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02" s="2" t="str" cm="1">
        <f t="array" ref="P502">_xlfn.IFS(Computed_insight___Success_of_active_sellers__2[[#This Row],[rating]]&gt;=4.5, "Excellent ", Computed_insight___Success_of_active_sellers__2[[#This Row],[rating]]&gt;=4, "Good ", Computed_insight___Success_of_active_sellers__2[[#This Row],[rating]]&gt;=3.5, "Average", TRUE, "Poor ")</f>
        <v>Average</v>
      </c>
      <c r="Q502" s="2" t="str" cm="1">
        <f t="array" ref="Q502">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502" s="2" t="str">
        <f>IF(Computed_insight___Success_of_active_sellers__2[[#This Row],[totalurgencycount]]&gt;0, "Has Banner", "No Banner")</f>
        <v>No Banner</v>
      </c>
    </row>
    <row r="503" spans="1:18" x14ac:dyDescent="0.3">
      <c r="A503">
        <v>501</v>
      </c>
      <c r="B503" t="s">
        <v>300</v>
      </c>
      <c r="C503">
        <v>1</v>
      </c>
      <c r="D503">
        <v>1000</v>
      </c>
      <c r="E503">
        <v>1000</v>
      </c>
      <c r="F503">
        <v>3.984</v>
      </c>
      <c r="G503">
        <v>5807</v>
      </c>
      <c r="H503">
        <v>8</v>
      </c>
      <c r="I503">
        <v>17</v>
      </c>
      <c r="J503">
        <v>53</v>
      </c>
      <c r="K503">
        <v>53</v>
      </c>
      <c r="L503">
        <v>426</v>
      </c>
      <c r="O503" s="2" t="str" cm="1">
        <f t="array" ref="O50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03" s="2" t="str" cm="1">
        <f t="array" ref="P503">_xlfn.IFS(Computed_insight___Success_of_active_sellers__2[[#This Row],[rating]]&gt;=4.5, "Excellent ", Computed_insight___Success_of_active_sellers__2[[#This Row],[rating]]&gt;=4, "Good ", Computed_insight___Success_of_active_sellers__2[[#This Row],[rating]]&gt;=3.5, "Average", TRUE, "Poor ")</f>
        <v>Average</v>
      </c>
      <c r="Q503" s="2" t="str" cm="1">
        <f t="array" ref="Q50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03" s="2" t="str">
        <f>IF(Computed_insight___Success_of_active_sellers__2[[#This Row],[totalurgencycount]]&gt;0, "Has Banner", "No Banner")</f>
        <v>No Banner</v>
      </c>
    </row>
    <row r="504" spans="1:18" x14ac:dyDescent="0.3">
      <c r="A504">
        <v>502</v>
      </c>
      <c r="B504" t="s">
        <v>790</v>
      </c>
      <c r="C504">
        <v>1</v>
      </c>
      <c r="D504">
        <v>1000</v>
      </c>
      <c r="E504">
        <v>1000</v>
      </c>
      <c r="F504">
        <v>3.9849999999999999</v>
      </c>
      <c r="G504">
        <v>6731</v>
      </c>
      <c r="H504">
        <v>7</v>
      </c>
      <c r="I504">
        <v>43</v>
      </c>
      <c r="J504">
        <v>84</v>
      </c>
      <c r="K504">
        <v>84</v>
      </c>
      <c r="L504">
        <v>130</v>
      </c>
      <c r="M504">
        <v>1</v>
      </c>
      <c r="N504">
        <v>100</v>
      </c>
      <c r="O504" s="2" t="str" cm="1">
        <f t="array" ref="O50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04" s="2" t="str" cm="1">
        <f t="array" ref="P504">_xlfn.IFS(Computed_insight___Success_of_active_sellers__2[[#This Row],[rating]]&gt;=4.5, "Excellent ", Computed_insight___Success_of_active_sellers__2[[#This Row],[rating]]&gt;=4, "Good ", Computed_insight___Success_of_active_sellers__2[[#This Row],[rating]]&gt;=3.5, "Average", TRUE, "Poor ")</f>
        <v>Average</v>
      </c>
      <c r="Q504" s="2" t="str" cm="1">
        <f t="array" ref="Q50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04" s="2" t="str">
        <f>IF(Computed_insight___Success_of_active_sellers__2[[#This Row],[totalurgencycount]]&gt;0, "Has Banner", "No Banner")</f>
        <v>Has Banner</v>
      </c>
    </row>
    <row r="505" spans="1:18" x14ac:dyDescent="0.3">
      <c r="A505">
        <v>503</v>
      </c>
      <c r="B505" t="s">
        <v>552</v>
      </c>
      <c r="C505">
        <v>1</v>
      </c>
      <c r="D505">
        <v>1000</v>
      </c>
      <c r="E505">
        <v>1000</v>
      </c>
      <c r="F505">
        <v>3.9889999999999999</v>
      </c>
      <c r="G505">
        <v>5422</v>
      </c>
      <c r="H505">
        <v>8</v>
      </c>
      <c r="I505">
        <v>49</v>
      </c>
      <c r="J505">
        <v>84</v>
      </c>
      <c r="K505">
        <v>84</v>
      </c>
      <c r="L505">
        <v>154</v>
      </c>
      <c r="M505">
        <v>1</v>
      </c>
      <c r="N505">
        <v>100</v>
      </c>
      <c r="O505" s="2" t="str" cm="1">
        <f t="array" ref="O50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05" s="2" t="str" cm="1">
        <f t="array" ref="P505">_xlfn.IFS(Computed_insight___Success_of_active_sellers__2[[#This Row],[rating]]&gt;=4.5, "Excellent ", Computed_insight___Success_of_active_sellers__2[[#This Row],[rating]]&gt;=4, "Good ", Computed_insight___Success_of_active_sellers__2[[#This Row],[rating]]&gt;=3.5, "Average", TRUE, "Poor ")</f>
        <v>Average</v>
      </c>
      <c r="Q505" s="2" t="str" cm="1">
        <f t="array" ref="Q50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05" s="2" t="str">
        <f>IF(Computed_insight___Success_of_active_sellers__2[[#This Row],[totalurgencycount]]&gt;0, "Has Banner", "No Banner")</f>
        <v>Has Banner</v>
      </c>
    </row>
    <row r="506" spans="1:18" x14ac:dyDescent="0.3">
      <c r="A506">
        <v>504</v>
      </c>
      <c r="B506" t="s">
        <v>122</v>
      </c>
      <c r="C506">
        <v>1</v>
      </c>
      <c r="D506">
        <v>1000</v>
      </c>
      <c r="E506">
        <v>1000</v>
      </c>
      <c r="F506">
        <v>3.9929999999999999</v>
      </c>
      <c r="G506">
        <v>9308</v>
      </c>
      <c r="H506">
        <v>5.86</v>
      </c>
      <c r="I506">
        <v>5</v>
      </c>
      <c r="J506">
        <v>-17</v>
      </c>
      <c r="K506">
        <v>-17</v>
      </c>
      <c r="L506">
        <v>150</v>
      </c>
      <c r="O506" s="2" t="str" cm="1">
        <f t="array" ref="O50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06" s="2" t="str" cm="1">
        <f t="array" ref="P506">_xlfn.IFS(Computed_insight___Success_of_active_sellers__2[[#This Row],[rating]]&gt;=4.5, "Excellent ", Computed_insight___Success_of_active_sellers__2[[#This Row],[rating]]&gt;=4, "Good ", Computed_insight___Success_of_active_sellers__2[[#This Row],[rating]]&gt;=3.5, "Average", TRUE, "Poor ")</f>
        <v>Average</v>
      </c>
      <c r="Q506" s="2" t="str" cm="1">
        <f t="array" ref="Q50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06" s="2" t="str">
        <f>IF(Computed_insight___Success_of_active_sellers__2[[#This Row],[totalurgencycount]]&gt;0, "Has Banner", "No Banner")</f>
        <v>No Banner</v>
      </c>
    </row>
    <row r="507" spans="1:18" x14ac:dyDescent="0.3">
      <c r="A507">
        <v>505</v>
      </c>
      <c r="B507" t="s">
        <v>150</v>
      </c>
      <c r="C507">
        <v>1</v>
      </c>
      <c r="D507">
        <v>1000</v>
      </c>
      <c r="E507">
        <v>1000</v>
      </c>
      <c r="F507">
        <v>3.9950000000000001</v>
      </c>
      <c r="G507">
        <v>8484</v>
      </c>
      <c r="H507">
        <v>5</v>
      </c>
      <c r="I507">
        <v>8</v>
      </c>
      <c r="J507">
        <v>38</v>
      </c>
      <c r="K507">
        <v>38</v>
      </c>
      <c r="L507">
        <v>31</v>
      </c>
      <c r="M507">
        <v>1</v>
      </c>
      <c r="N507">
        <v>100</v>
      </c>
      <c r="O507" s="2" t="str" cm="1">
        <f t="array" ref="O50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07" s="2" t="str" cm="1">
        <f t="array" ref="P507">_xlfn.IFS(Computed_insight___Success_of_active_sellers__2[[#This Row],[rating]]&gt;=4.5, "Excellent ", Computed_insight___Success_of_active_sellers__2[[#This Row],[rating]]&gt;=4, "Good ", Computed_insight___Success_of_active_sellers__2[[#This Row],[rating]]&gt;=3.5, "Average", TRUE, "Poor ")</f>
        <v>Average</v>
      </c>
      <c r="Q507" s="2" t="str" cm="1">
        <f t="array" ref="Q507">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507" s="2" t="str">
        <f>IF(Computed_insight___Success_of_active_sellers__2[[#This Row],[totalurgencycount]]&gt;0, "Has Banner", "No Banner")</f>
        <v>Has Banner</v>
      </c>
    </row>
    <row r="508" spans="1:18" x14ac:dyDescent="0.3">
      <c r="A508">
        <v>506</v>
      </c>
      <c r="B508" t="s">
        <v>222</v>
      </c>
      <c r="C508">
        <v>1</v>
      </c>
      <c r="D508">
        <v>1000</v>
      </c>
      <c r="E508">
        <v>1000</v>
      </c>
      <c r="F508">
        <v>4.0039999999999996</v>
      </c>
      <c r="G508">
        <v>73119</v>
      </c>
      <c r="H508">
        <v>11</v>
      </c>
      <c r="I508">
        <v>10</v>
      </c>
      <c r="J508">
        <v>-10</v>
      </c>
      <c r="K508">
        <v>-10</v>
      </c>
      <c r="L508">
        <v>221</v>
      </c>
      <c r="M508">
        <v>1</v>
      </c>
      <c r="N508">
        <v>100</v>
      </c>
      <c r="O508" s="2" t="str" cm="1">
        <f t="array" ref="O50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08" s="2" t="str" cm="1">
        <f t="array" ref="P508">_xlfn.IFS(Computed_insight___Success_of_active_sellers__2[[#This Row],[rating]]&gt;=4.5, "Excellent ", Computed_insight___Success_of_active_sellers__2[[#This Row],[rating]]&gt;=4, "Good ", Computed_insight___Success_of_active_sellers__2[[#This Row],[rating]]&gt;=3.5, "Average", TRUE, "Poor ")</f>
        <v xml:space="preserve">Good </v>
      </c>
      <c r="Q508" s="2" t="str" cm="1">
        <f t="array" ref="Q50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08" s="2" t="str">
        <f>IF(Computed_insight___Success_of_active_sellers__2[[#This Row],[totalurgencycount]]&gt;0, "Has Banner", "No Banner")</f>
        <v>Has Banner</v>
      </c>
    </row>
    <row r="509" spans="1:18" x14ac:dyDescent="0.3">
      <c r="A509">
        <v>507</v>
      </c>
      <c r="B509" t="s">
        <v>579</v>
      </c>
      <c r="C509">
        <v>1</v>
      </c>
      <c r="D509">
        <v>1000</v>
      </c>
      <c r="E509">
        <v>1000</v>
      </c>
      <c r="F509">
        <v>4.0060000000000002</v>
      </c>
      <c r="G509">
        <v>5226</v>
      </c>
      <c r="H509">
        <v>8</v>
      </c>
      <c r="I509">
        <v>8</v>
      </c>
      <c r="J509">
        <v>0</v>
      </c>
      <c r="K509">
        <v>0</v>
      </c>
      <c r="L509">
        <v>668</v>
      </c>
      <c r="M509">
        <v>1</v>
      </c>
      <c r="N509">
        <v>100</v>
      </c>
      <c r="O509" s="2" t="str" cm="1">
        <f t="array" ref="O50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09" s="2" t="str" cm="1">
        <f t="array" ref="P509">_xlfn.IFS(Computed_insight___Success_of_active_sellers__2[[#This Row],[rating]]&gt;=4.5, "Excellent ", Computed_insight___Success_of_active_sellers__2[[#This Row],[rating]]&gt;=4, "Good ", Computed_insight___Success_of_active_sellers__2[[#This Row],[rating]]&gt;=3.5, "Average", TRUE, "Poor ")</f>
        <v xml:space="preserve">Good </v>
      </c>
      <c r="Q509" s="2" t="str" cm="1">
        <f t="array" ref="Q50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09" s="2" t="str">
        <f>IF(Computed_insight___Success_of_active_sellers__2[[#This Row],[totalurgencycount]]&gt;0, "Has Banner", "No Banner")</f>
        <v>Has Banner</v>
      </c>
    </row>
    <row r="510" spans="1:18" x14ac:dyDescent="0.3">
      <c r="A510">
        <v>508</v>
      </c>
      <c r="B510" t="s">
        <v>766</v>
      </c>
      <c r="C510">
        <v>1</v>
      </c>
      <c r="D510">
        <v>1000</v>
      </c>
      <c r="E510">
        <v>1000</v>
      </c>
      <c r="F510">
        <v>4.0069999999999997</v>
      </c>
      <c r="G510">
        <v>10264</v>
      </c>
      <c r="H510">
        <v>14</v>
      </c>
      <c r="I510">
        <v>12</v>
      </c>
      <c r="J510">
        <v>-16</v>
      </c>
      <c r="K510">
        <v>-16</v>
      </c>
      <c r="L510">
        <v>475</v>
      </c>
      <c r="O510" s="2" t="str" cm="1">
        <f t="array" ref="O51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10" s="2" t="str" cm="1">
        <f t="array" ref="P510">_xlfn.IFS(Computed_insight___Success_of_active_sellers__2[[#This Row],[rating]]&gt;=4.5, "Excellent ", Computed_insight___Success_of_active_sellers__2[[#This Row],[rating]]&gt;=4, "Good ", Computed_insight___Success_of_active_sellers__2[[#This Row],[rating]]&gt;=3.5, "Average", TRUE, "Poor ")</f>
        <v xml:space="preserve">Good </v>
      </c>
      <c r="Q510" s="2" t="str" cm="1">
        <f t="array" ref="Q51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10" s="2" t="str">
        <f>IF(Computed_insight___Success_of_active_sellers__2[[#This Row],[totalurgencycount]]&gt;0, "Has Banner", "No Banner")</f>
        <v>No Banner</v>
      </c>
    </row>
    <row r="511" spans="1:18" x14ac:dyDescent="0.3">
      <c r="A511">
        <v>509</v>
      </c>
      <c r="B511" t="s">
        <v>685</v>
      </c>
      <c r="C511">
        <v>1</v>
      </c>
      <c r="D511">
        <v>1000</v>
      </c>
      <c r="E511">
        <v>1000</v>
      </c>
      <c r="F511">
        <v>4.008</v>
      </c>
      <c r="G511">
        <v>639</v>
      </c>
      <c r="H511">
        <v>12</v>
      </c>
      <c r="I511">
        <v>31</v>
      </c>
      <c r="J511">
        <v>62</v>
      </c>
      <c r="K511">
        <v>62</v>
      </c>
      <c r="L511">
        <v>344</v>
      </c>
      <c r="M511">
        <v>1</v>
      </c>
      <c r="N511">
        <v>100</v>
      </c>
      <c r="O511" s="2" t="str" cm="1">
        <f t="array" ref="O51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11" s="2" t="str" cm="1">
        <f t="array" ref="P511">_xlfn.IFS(Computed_insight___Success_of_active_sellers__2[[#This Row],[rating]]&gt;=4.5, "Excellent ", Computed_insight___Success_of_active_sellers__2[[#This Row],[rating]]&gt;=4, "Good ", Computed_insight___Success_of_active_sellers__2[[#This Row],[rating]]&gt;=3.5, "Average", TRUE, "Poor ")</f>
        <v xml:space="preserve">Good </v>
      </c>
      <c r="Q511" s="2" t="str" cm="1">
        <f t="array" ref="Q51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11" s="2" t="str">
        <f>IF(Computed_insight___Success_of_active_sellers__2[[#This Row],[totalurgencycount]]&gt;0, "Has Banner", "No Banner")</f>
        <v>Has Banner</v>
      </c>
    </row>
    <row r="512" spans="1:18" x14ac:dyDescent="0.3">
      <c r="A512">
        <v>510</v>
      </c>
      <c r="B512" t="s">
        <v>934</v>
      </c>
      <c r="C512">
        <v>1</v>
      </c>
      <c r="D512">
        <v>1000</v>
      </c>
      <c r="E512">
        <v>1000</v>
      </c>
      <c r="F512">
        <v>4.0140000000000002</v>
      </c>
      <c r="G512">
        <v>4622</v>
      </c>
      <c r="H512">
        <v>14</v>
      </c>
      <c r="I512">
        <v>51</v>
      </c>
      <c r="J512">
        <v>73</v>
      </c>
      <c r="K512">
        <v>73</v>
      </c>
      <c r="L512">
        <v>445</v>
      </c>
      <c r="O512" s="2" t="str" cm="1">
        <f t="array" ref="O51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12" s="2" t="str" cm="1">
        <f t="array" ref="P512">_xlfn.IFS(Computed_insight___Success_of_active_sellers__2[[#This Row],[rating]]&gt;=4.5, "Excellent ", Computed_insight___Success_of_active_sellers__2[[#This Row],[rating]]&gt;=4, "Good ", Computed_insight___Success_of_active_sellers__2[[#This Row],[rating]]&gt;=3.5, "Average", TRUE, "Poor ")</f>
        <v xml:space="preserve">Good </v>
      </c>
      <c r="Q512" s="2" t="str" cm="1">
        <f t="array" ref="Q51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12" s="2" t="str">
        <f>IF(Computed_insight___Success_of_active_sellers__2[[#This Row],[totalurgencycount]]&gt;0, "Has Banner", "No Banner")</f>
        <v>No Banner</v>
      </c>
    </row>
    <row r="513" spans="1:18" x14ac:dyDescent="0.3">
      <c r="A513">
        <v>511</v>
      </c>
      <c r="B513" t="s">
        <v>283</v>
      </c>
      <c r="C513">
        <v>1</v>
      </c>
      <c r="D513">
        <v>1000</v>
      </c>
      <c r="E513">
        <v>1000</v>
      </c>
      <c r="F513">
        <v>4.0140000000000002</v>
      </c>
      <c r="G513">
        <v>21226</v>
      </c>
      <c r="H513">
        <v>8</v>
      </c>
      <c r="I513">
        <v>7</v>
      </c>
      <c r="J513">
        <v>-14</v>
      </c>
      <c r="K513">
        <v>-14</v>
      </c>
      <c r="L513">
        <v>605</v>
      </c>
      <c r="O513" s="2" t="str" cm="1">
        <f t="array" ref="O51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13" s="2" t="str" cm="1">
        <f t="array" ref="P513">_xlfn.IFS(Computed_insight___Success_of_active_sellers__2[[#This Row],[rating]]&gt;=4.5, "Excellent ", Computed_insight___Success_of_active_sellers__2[[#This Row],[rating]]&gt;=4, "Good ", Computed_insight___Success_of_active_sellers__2[[#This Row],[rating]]&gt;=3.5, "Average", TRUE, "Poor ")</f>
        <v xml:space="preserve">Good </v>
      </c>
      <c r="Q513" s="2" t="str" cm="1">
        <f t="array" ref="Q51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13" s="2" t="str">
        <f>IF(Computed_insight___Success_of_active_sellers__2[[#This Row],[totalurgencycount]]&gt;0, "Has Banner", "No Banner")</f>
        <v>No Banner</v>
      </c>
    </row>
    <row r="514" spans="1:18" x14ac:dyDescent="0.3">
      <c r="A514">
        <v>512</v>
      </c>
      <c r="B514" t="s">
        <v>604</v>
      </c>
      <c r="C514">
        <v>1</v>
      </c>
      <c r="D514">
        <v>1000</v>
      </c>
      <c r="E514">
        <v>1000</v>
      </c>
      <c r="F514">
        <v>4.0149999999999997</v>
      </c>
      <c r="G514">
        <v>9002</v>
      </c>
      <c r="H514">
        <v>11</v>
      </c>
      <c r="I514">
        <v>11</v>
      </c>
      <c r="J514">
        <v>0</v>
      </c>
      <c r="K514">
        <v>0</v>
      </c>
      <c r="L514">
        <v>217</v>
      </c>
      <c r="O514" s="2" t="str" cm="1">
        <f t="array" ref="O51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14" s="2" t="str" cm="1">
        <f t="array" ref="P514">_xlfn.IFS(Computed_insight___Success_of_active_sellers__2[[#This Row],[rating]]&gt;=4.5, "Excellent ", Computed_insight___Success_of_active_sellers__2[[#This Row],[rating]]&gt;=4, "Good ", Computed_insight___Success_of_active_sellers__2[[#This Row],[rating]]&gt;=3.5, "Average", TRUE, "Poor ")</f>
        <v xml:space="preserve">Good </v>
      </c>
      <c r="Q514" s="2" t="str" cm="1">
        <f t="array" ref="Q51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14" s="2" t="str">
        <f>IF(Computed_insight___Success_of_active_sellers__2[[#This Row],[totalurgencycount]]&gt;0, "Has Banner", "No Banner")</f>
        <v>No Banner</v>
      </c>
    </row>
    <row r="515" spans="1:18" x14ac:dyDescent="0.3">
      <c r="A515">
        <v>513</v>
      </c>
      <c r="B515" t="s">
        <v>370</v>
      </c>
      <c r="C515">
        <v>1</v>
      </c>
      <c r="D515">
        <v>1000</v>
      </c>
      <c r="E515">
        <v>1000</v>
      </c>
      <c r="F515">
        <v>4.0170000000000003</v>
      </c>
      <c r="G515">
        <v>4233</v>
      </c>
      <c r="H515">
        <v>6</v>
      </c>
      <c r="I515">
        <v>22</v>
      </c>
      <c r="J515">
        <v>73</v>
      </c>
      <c r="K515">
        <v>73</v>
      </c>
      <c r="L515">
        <v>518</v>
      </c>
      <c r="M515">
        <v>1</v>
      </c>
      <c r="N515">
        <v>100</v>
      </c>
      <c r="O515" s="2" t="str" cm="1">
        <f t="array" ref="O51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15" s="2" t="str" cm="1">
        <f t="array" ref="P515">_xlfn.IFS(Computed_insight___Success_of_active_sellers__2[[#This Row],[rating]]&gt;=4.5, "Excellent ", Computed_insight___Success_of_active_sellers__2[[#This Row],[rating]]&gt;=4, "Good ", Computed_insight___Success_of_active_sellers__2[[#This Row],[rating]]&gt;=3.5, "Average", TRUE, "Poor ")</f>
        <v xml:space="preserve">Good </v>
      </c>
      <c r="Q515" s="2" t="str" cm="1">
        <f t="array" ref="Q51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15" s="2" t="str">
        <f>IF(Computed_insight___Success_of_active_sellers__2[[#This Row],[totalurgencycount]]&gt;0, "Has Banner", "No Banner")</f>
        <v>Has Banner</v>
      </c>
    </row>
    <row r="516" spans="1:18" x14ac:dyDescent="0.3">
      <c r="A516">
        <v>514</v>
      </c>
      <c r="B516" t="s">
        <v>881</v>
      </c>
      <c r="C516">
        <v>1</v>
      </c>
      <c r="D516">
        <v>1000</v>
      </c>
      <c r="E516">
        <v>1000</v>
      </c>
      <c r="F516">
        <v>4.0190000000000001</v>
      </c>
      <c r="G516">
        <v>1281</v>
      </c>
      <c r="H516">
        <v>2.8</v>
      </c>
      <c r="I516">
        <v>3</v>
      </c>
      <c r="J516">
        <v>7</v>
      </c>
      <c r="K516">
        <v>7</v>
      </c>
      <c r="L516">
        <v>78</v>
      </c>
      <c r="O516" s="2" t="str" cm="1">
        <f t="array" ref="O51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16" s="2" t="str" cm="1">
        <f t="array" ref="P516">_xlfn.IFS(Computed_insight___Success_of_active_sellers__2[[#This Row],[rating]]&gt;=4.5, "Excellent ", Computed_insight___Success_of_active_sellers__2[[#This Row],[rating]]&gt;=4, "Good ", Computed_insight___Success_of_active_sellers__2[[#This Row],[rating]]&gt;=3.5, "Average", TRUE, "Poor ")</f>
        <v xml:space="preserve">Good </v>
      </c>
      <c r="Q516" s="2" t="str" cm="1">
        <f t="array" ref="Q516">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516" s="2" t="str">
        <f>IF(Computed_insight___Success_of_active_sellers__2[[#This Row],[totalurgencycount]]&gt;0, "Has Banner", "No Banner")</f>
        <v>No Banner</v>
      </c>
    </row>
    <row r="517" spans="1:18" x14ac:dyDescent="0.3">
      <c r="A517">
        <v>515</v>
      </c>
      <c r="B517" t="s">
        <v>764</v>
      </c>
      <c r="C517">
        <v>1</v>
      </c>
      <c r="D517">
        <v>1000</v>
      </c>
      <c r="E517">
        <v>1000</v>
      </c>
      <c r="F517">
        <v>4.0279999999999996</v>
      </c>
      <c r="G517">
        <v>6246</v>
      </c>
      <c r="H517">
        <v>5.67</v>
      </c>
      <c r="I517">
        <v>6</v>
      </c>
      <c r="J517">
        <v>6</v>
      </c>
      <c r="K517">
        <v>6</v>
      </c>
      <c r="L517">
        <v>245</v>
      </c>
      <c r="O517" s="2" t="str" cm="1">
        <f t="array" ref="O51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17" s="2" t="str" cm="1">
        <f t="array" ref="P517">_xlfn.IFS(Computed_insight___Success_of_active_sellers__2[[#This Row],[rating]]&gt;=4.5, "Excellent ", Computed_insight___Success_of_active_sellers__2[[#This Row],[rating]]&gt;=4, "Good ", Computed_insight___Success_of_active_sellers__2[[#This Row],[rating]]&gt;=3.5, "Average", TRUE, "Poor ")</f>
        <v xml:space="preserve">Good </v>
      </c>
      <c r="Q517" s="2" t="str" cm="1">
        <f t="array" ref="Q517">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517" s="2" t="str">
        <f>IF(Computed_insight___Success_of_active_sellers__2[[#This Row],[totalurgencycount]]&gt;0, "Has Banner", "No Banner")</f>
        <v>No Banner</v>
      </c>
    </row>
    <row r="518" spans="1:18" x14ac:dyDescent="0.3">
      <c r="A518">
        <v>516</v>
      </c>
      <c r="B518" t="s">
        <v>529</v>
      </c>
      <c r="C518">
        <v>1</v>
      </c>
      <c r="D518">
        <v>1000</v>
      </c>
      <c r="E518">
        <v>1000</v>
      </c>
      <c r="F518">
        <v>4.0309999999999997</v>
      </c>
      <c r="G518">
        <v>2464</v>
      </c>
      <c r="H518">
        <v>6</v>
      </c>
      <c r="I518">
        <v>140</v>
      </c>
      <c r="J518">
        <v>96</v>
      </c>
      <c r="K518">
        <v>96</v>
      </c>
      <c r="L518">
        <v>538</v>
      </c>
      <c r="O518" s="2" t="str" cm="1">
        <f t="array" ref="O51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18" s="2" t="str" cm="1">
        <f t="array" ref="P518">_xlfn.IFS(Computed_insight___Success_of_active_sellers__2[[#This Row],[rating]]&gt;=4.5, "Excellent ", Computed_insight___Success_of_active_sellers__2[[#This Row],[rating]]&gt;=4, "Good ", Computed_insight___Success_of_active_sellers__2[[#This Row],[rating]]&gt;=3.5, "Average", TRUE, "Poor ")</f>
        <v xml:space="preserve">Good </v>
      </c>
      <c r="Q518" s="2" t="str" cm="1">
        <f t="array" ref="Q51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18" s="2" t="str">
        <f>IF(Computed_insight___Success_of_active_sellers__2[[#This Row],[totalurgencycount]]&gt;0, "Has Banner", "No Banner")</f>
        <v>No Banner</v>
      </c>
    </row>
    <row r="519" spans="1:18" x14ac:dyDescent="0.3">
      <c r="A519">
        <v>517</v>
      </c>
      <c r="B519" t="s">
        <v>555</v>
      </c>
      <c r="C519">
        <v>1</v>
      </c>
      <c r="D519">
        <v>1000</v>
      </c>
      <c r="E519">
        <v>1000</v>
      </c>
      <c r="F519">
        <v>4.0359999999999996</v>
      </c>
      <c r="G519">
        <v>1055</v>
      </c>
      <c r="H519">
        <v>2</v>
      </c>
      <c r="I519">
        <v>2</v>
      </c>
      <c r="J519">
        <v>0</v>
      </c>
      <c r="K519">
        <v>0</v>
      </c>
      <c r="L519">
        <v>143</v>
      </c>
      <c r="O519" s="2" t="str" cm="1">
        <f t="array" ref="O51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19" s="2" t="str" cm="1">
        <f t="array" ref="P519">_xlfn.IFS(Computed_insight___Success_of_active_sellers__2[[#This Row],[rating]]&gt;=4.5, "Excellent ", Computed_insight___Success_of_active_sellers__2[[#This Row],[rating]]&gt;=4, "Good ", Computed_insight___Success_of_active_sellers__2[[#This Row],[rating]]&gt;=3.5, "Average", TRUE, "Poor ")</f>
        <v xml:space="preserve">Good </v>
      </c>
      <c r="Q519" s="2" t="str" cm="1">
        <f t="array" ref="Q51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19" s="2" t="str">
        <f>IF(Computed_insight___Success_of_active_sellers__2[[#This Row],[totalurgencycount]]&gt;0, "Has Banner", "No Banner")</f>
        <v>No Banner</v>
      </c>
    </row>
    <row r="520" spans="1:18" x14ac:dyDescent="0.3">
      <c r="A520">
        <v>518</v>
      </c>
      <c r="B520" t="s">
        <v>355</v>
      </c>
      <c r="C520">
        <v>1</v>
      </c>
      <c r="D520">
        <v>1000</v>
      </c>
      <c r="E520">
        <v>1000</v>
      </c>
      <c r="F520">
        <v>4.0410000000000004</v>
      </c>
      <c r="G520">
        <v>4230</v>
      </c>
      <c r="H520">
        <v>1.8</v>
      </c>
      <c r="I520">
        <v>2</v>
      </c>
      <c r="J520">
        <v>10</v>
      </c>
      <c r="K520">
        <v>10</v>
      </c>
      <c r="L520">
        <v>76</v>
      </c>
      <c r="O520" s="2" t="str" cm="1">
        <f t="array" ref="O52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20" s="2" t="str" cm="1">
        <f t="array" ref="P520">_xlfn.IFS(Computed_insight___Success_of_active_sellers__2[[#This Row],[rating]]&gt;=4.5, "Excellent ", Computed_insight___Success_of_active_sellers__2[[#This Row],[rating]]&gt;=4, "Good ", Computed_insight___Success_of_active_sellers__2[[#This Row],[rating]]&gt;=3.5, "Average", TRUE, "Poor ")</f>
        <v xml:space="preserve">Good </v>
      </c>
      <c r="Q520" s="2" t="str" cm="1">
        <f t="array" ref="Q520">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520" s="2" t="str">
        <f>IF(Computed_insight___Success_of_active_sellers__2[[#This Row],[totalurgencycount]]&gt;0, "Has Banner", "No Banner")</f>
        <v>No Banner</v>
      </c>
    </row>
    <row r="521" spans="1:18" x14ac:dyDescent="0.3">
      <c r="A521">
        <v>519</v>
      </c>
      <c r="B521" t="s">
        <v>888</v>
      </c>
      <c r="C521">
        <v>1</v>
      </c>
      <c r="D521">
        <v>1000</v>
      </c>
      <c r="E521">
        <v>1000</v>
      </c>
      <c r="F521">
        <v>4.0439999999999996</v>
      </c>
      <c r="G521">
        <v>11078</v>
      </c>
      <c r="H521">
        <v>5</v>
      </c>
      <c r="I521">
        <v>5</v>
      </c>
      <c r="J521">
        <v>0</v>
      </c>
      <c r="K521">
        <v>0</v>
      </c>
      <c r="L521">
        <v>279</v>
      </c>
      <c r="O521" s="2" t="str" cm="1">
        <f t="array" ref="O52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21" s="2" t="str" cm="1">
        <f t="array" ref="P521">_xlfn.IFS(Computed_insight___Success_of_active_sellers__2[[#This Row],[rating]]&gt;=4.5, "Excellent ", Computed_insight___Success_of_active_sellers__2[[#This Row],[rating]]&gt;=4, "Good ", Computed_insight___Success_of_active_sellers__2[[#This Row],[rating]]&gt;=3.5, "Average", TRUE, "Poor ")</f>
        <v xml:space="preserve">Good </v>
      </c>
      <c r="Q521" s="2" t="str" cm="1">
        <f t="array" ref="Q52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21" s="2" t="str">
        <f>IF(Computed_insight___Success_of_active_sellers__2[[#This Row],[totalurgencycount]]&gt;0, "Has Banner", "No Banner")</f>
        <v>No Banner</v>
      </c>
    </row>
    <row r="522" spans="1:18" x14ac:dyDescent="0.3">
      <c r="A522">
        <v>520</v>
      </c>
      <c r="B522" t="s">
        <v>288</v>
      </c>
      <c r="C522">
        <v>1</v>
      </c>
      <c r="D522">
        <v>1000</v>
      </c>
      <c r="E522">
        <v>1000</v>
      </c>
      <c r="F522">
        <v>4.0449999999999999</v>
      </c>
      <c r="G522">
        <v>10436</v>
      </c>
      <c r="H522">
        <v>5</v>
      </c>
      <c r="I522">
        <v>5</v>
      </c>
      <c r="J522">
        <v>0</v>
      </c>
      <c r="K522">
        <v>0</v>
      </c>
      <c r="L522">
        <v>94</v>
      </c>
      <c r="O522" s="2" t="str" cm="1">
        <f t="array" ref="O52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22" s="2" t="str" cm="1">
        <f t="array" ref="P522">_xlfn.IFS(Computed_insight___Success_of_active_sellers__2[[#This Row],[rating]]&gt;=4.5, "Excellent ", Computed_insight___Success_of_active_sellers__2[[#This Row],[rating]]&gt;=4, "Good ", Computed_insight___Success_of_active_sellers__2[[#This Row],[rating]]&gt;=3.5, "Average", TRUE, "Poor ")</f>
        <v xml:space="preserve">Good </v>
      </c>
      <c r="Q522" s="2" t="str" cm="1">
        <f t="array" ref="Q52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22" s="2" t="str">
        <f>IF(Computed_insight___Success_of_active_sellers__2[[#This Row],[totalurgencycount]]&gt;0, "Has Banner", "No Banner")</f>
        <v>No Banner</v>
      </c>
    </row>
    <row r="523" spans="1:18" x14ac:dyDescent="0.3">
      <c r="A523">
        <v>521</v>
      </c>
      <c r="B523" t="s">
        <v>378</v>
      </c>
      <c r="C523">
        <v>1</v>
      </c>
      <c r="D523">
        <v>1000</v>
      </c>
      <c r="E523">
        <v>1000</v>
      </c>
      <c r="F523">
        <v>4.0469999999999997</v>
      </c>
      <c r="G523">
        <v>1990</v>
      </c>
      <c r="H523">
        <v>12</v>
      </c>
      <c r="I523">
        <v>11</v>
      </c>
      <c r="J523">
        <v>-9</v>
      </c>
      <c r="K523">
        <v>-9</v>
      </c>
      <c r="L523">
        <v>899</v>
      </c>
      <c r="O523" s="2" t="str" cm="1">
        <f t="array" ref="O52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23" s="2" t="str" cm="1">
        <f t="array" ref="P523">_xlfn.IFS(Computed_insight___Success_of_active_sellers__2[[#This Row],[rating]]&gt;=4.5, "Excellent ", Computed_insight___Success_of_active_sellers__2[[#This Row],[rating]]&gt;=4, "Good ", Computed_insight___Success_of_active_sellers__2[[#This Row],[rating]]&gt;=3.5, "Average", TRUE, "Poor ")</f>
        <v xml:space="preserve">Good </v>
      </c>
      <c r="Q523" s="2" t="str" cm="1">
        <f t="array" ref="Q52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23" s="2" t="str">
        <f>IF(Computed_insight___Success_of_active_sellers__2[[#This Row],[totalurgencycount]]&gt;0, "Has Banner", "No Banner")</f>
        <v>No Banner</v>
      </c>
    </row>
    <row r="524" spans="1:18" x14ac:dyDescent="0.3">
      <c r="A524">
        <v>522</v>
      </c>
      <c r="B524" t="s">
        <v>679</v>
      </c>
      <c r="C524">
        <v>1</v>
      </c>
      <c r="D524">
        <v>1000</v>
      </c>
      <c r="E524">
        <v>1000</v>
      </c>
      <c r="F524">
        <v>4.0549999999999997</v>
      </c>
      <c r="G524">
        <v>550</v>
      </c>
      <c r="H524">
        <v>5.65</v>
      </c>
      <c r="I524">
        <v>5</v>
      </c>
      <c r="J524">
        <v>-13</v>
      </c>
      <c r="K524">
        <v>-13</v>
      </c>
      <c r="L524">
        <v>108</v>
      </c>
      <c r="O524" s="2" t="str" cm="1">
        <f t="array" ref="O52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24" s="2" t="str" cm="1">
        <f t="array" ref="P524">_xlfn.IFS(Computed_insight___Success_of_active_sellers__2[[#This Row],[rating]]&gt;=4.5, "Excellent ", Computed_insight___Success_of_active_sellers__2[[#This Row],[rating]]&gt;=4, "Good ", Computed_insight___Success_of_active_sellers__2[[#This Row],[rating]]&gt;=3.5, "Average", TRUE, "Poor ")</f>
        <v xml:space="preserve">Good </v>
      </c>
      <c r="Q524" s="2" t="str" cm="1">
        <f t="array" ref="Q52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24" s="2" t="str">
        <f>IF(Computed_insight___Success_of_active_sellers__2[[#This Row],[totalurgencycount]]&gt;0, "Has Banner", "No Banner")</f>
        <v>No Banner</v>
      </c>
    </row>
    <row r="525" spans="1:18" x14ac:dyDescent="0.3">
      <c r="A525">
        <v>523</v>
      </c>
      <c r="B525" t="s">
        <v>697</v>
      </c>
      <c r="C525">
        <v>1</v>
      </c>
      <c r="D525">
        <v>1000</v>
      </c>
      <c r="E525">
        <v>1000</v>
      </c>
      <c r="F525">
        <v>4.0570000000000004</v>
      </c>
      <c r="G525">
        <v>3950</v>
      </c>
      <c r="H525">
        <v>8</v>
      </c>
      <c r="I525">
        <v>7</v>
      </c>
      <c r="J525">
        <v>-14</v>
      </c>
      <c r="K525">
        <v>-14</v>
      </c>
      <c r="L525">
        <v>124</v>
      </c>
      <c r="M525">
        <v>1</v>
      </c>
      <c r="N525">
        <v>100</v>
      </c>
      <c r="O525" s="2" t="str" cm="1">
        <f t="array" ref="O52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25" s="2" t="str" cm="1">
        <f t="array" ref="P525">_xlfn.IFS(Computed_insight___Success_of_active_sellers__2[[#This Row],[rating]]&gt;=4.5, "Excellent ", Computed_insight___Success_of_active_sellers__2[[#This Row],[rating]]&gt;=4, "Good ", Computed_insight___Success_of_active_sellers__2[[#This Row],[rating]]&gt;=3.5, "Average", TRUE, "Poor ")</f>
        <v xml:space="preserve">Good </v>
      </c>
      <c r="Q525" s="2" t="str" cm="1">
        <f t="array" ref="Q52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25" s="2" t="str">
        <f>IF(Computed_insight___Success_of_active_sellers__2[[#This Row],[totalurgencycount]]&gt;0, "Has Banner", "No Banner")</f>
        <v>Has Banner</v>
      </c>
    </row>
    <row r="526" spans="1:18" x14ac:dyDescent="0.3">
      <c r="A526">
        <v>524</v>
      </c>
      <c r="B526" t="s">
        <v>674</v>
      </c>
      <c r="C526">
        <v>1</v>
      </c>
      <c r="D526">
        <v>1000</v>
      </c>
      <c r="E526">
        <v>1000</v>
      </c>
      <c r="F526">
        <v>4.0579999999999998</v>
      </c>
      <c r="G526">
        <v>45372</v>
      </c>
      <c r="H526">
        <v>4.68</v>
      </c>
      <c r="I526">
        <v>25</v>
      </c>
      <c r="J526">
        <v>82</v>
      </c>
      <c r="K526">
        <v>82</v>
      </c>
      <c r="L526">
        <v>127</v>
      </c>
      <c r="O526" s="2" t="str" cm="1">
        <f t="array" ref="O52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26" s="2" t="str" cm="1">
        <f t="array" ref="P526">_xlfn.IFS(Computed_insight___Success_of_active_sellers__2[[#This Row],[rating]]&gt;=4.5, "Excellent ", Computed_insight___Success_of_active_sellers__2[[#This Row],[rating]]&gt;=4, "Good ", Computed_insight___Success_of_active_sellers__2[[#This Row],[rating]]&gt;=3.5, "Average", TRUE, "Poor ")</f>
        <v xml:space="preserve">Good </v>
      </c>
      <c r="Q526" s="2" t="str" cm="1">
        <f t="array" ref="Q52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26" s="2" t="str">
        <f>IF(Computed_insight___Success_of_active_sellers__2[[#This Row],[totalurgencycount]]&gt;0, "Has Banner", "No Banner")</f>
        <v>No Banner</v>
      </c>
    </row>
    <row r="527" spans="1:18" x14ac:dyDescent="0.3">
      <c r="A527">
        <v>525</v>
      </c>
      <c r="B527" t="s">
        <v>385</v>
      </c>
      <c r="C527">
        <v>1</v>
      </c>
      <c r="D527">
        <v>1000</v>
      </c>
      <c r="E527">
        <v>1000</v>
      </c>
      <c r="F527">
        <v>4.0609999999999999</v>
      </c>
      <c r="G527">
        <v>1369</v>
      </c>
      <c r="H527">
        <v>7</v>
      </c>
      <c r="I527">
        <v>6</v>
      </c>
      <c r="J527">
        <v>-16</v>
      </c>
      <c r="K527">
        <v>-16</v>
      </c>
      <c r="L527">
        <v>442</v>
      </c>
      <c r="M527">
        <v>1</v>
      </c>
      <c r="N527">
        <v>100</v>
      </c>
      <c r="O527" s="2" t="str" cm="1">
        <f t="array" ref="O52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27" s="2" t="str" cm="1">
        <f t="array" ref="P527">_xlfn.IFS(Computed_insight___Success_of_active_sellers__2[[#This Row],[rating]]&gt;=4.5, "Excellent ", Computed_insight___Success_of_active_sellers__2[[#This Row],[rating]]&gt;=4, "Good ", Computed_insight___Success_of_active_sellers__2[[#This Row],[rating]]&gt;=3.5, "Average", TRUE, "Poor ")</f>
        <v xml:space="preserve">Good </v>
      </c>
      <c r="Q527" s="2" t="str" cm="1">
        <f t="array" ref="Q52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27" s="2" t="str">
        <f>IF(Computed_insight___Success_of_active_sellers__2[[#This Row],[totalurgencycount]]&gt;0, "Has Banner", "No Banner")</f>
        <v>Has Banner</v>
      </c>
    </row>
    <row r="528" spans="1:18" x14ac:dyDescent="0.3">
      <c r="A528">
        <v>526</v>
      </c>
      <c r="B528" t="s">
        <v>180</v>
      </c>
      <c r="C528">
        <v>1</v>
      </c>
      <c r="D528">
        <v>1000</v>
      </c>
      <c r="E528">
        <v>1000</v>
      </c>
      <c r="F528">
        <v>4.0640000000000001</v>
      </c>
      <c r="G528">
        <v>2377</v>
      </c>
      <c r="H528">
        <v>11</v>
      </c>
      <c r="I528">
        <v>10</v>
      </c>
      <c r="J528">
        <v>-10</v>
      </c>
      <c r="K528">
        <v>-10</v>
      </c>
      <c r="L528">
        <v>215</v>
      </c>
      <c r="O528" s="2" t="str" cm="1">
        <f t="array" ref="O52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28" s="2" t="str" cm="1">
        <f t="array" ref="P528">_xlfn.IFS(Computed_insight___Success_of_active_sellers__2[[#This Row],[rating]]&gt;=4.5, "Excellent ", Computed_insight___Success_of_active_sellers__2[[#This Row],[rating]]&gt;=4, "Good ", Computed_insight___Success_of_active_sellers__2[[#This Row],[rating]]&gt;=3.5, "Average", TRUE, "Poor ")</f>
        <v xml:space="preserve">Good </v>
      </c>
      <c r="Q528" s="2" t="str" cm="1">
        <f t="array" ref="Q52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28" s="2" t="str">
        <f>IF(Computed_insight___Success_of_active_sellers__2[[#This Row],[totalurgencycount]]&gt;0, "Has Banner", "No Banner")</f>
        <v>No Banner</v>
      </c>
    </row>
    <row r="529" spans="1:18" x14ac:dyDescent="0.3">
      <c r="A529">
        <v>527</v>
      </c>
      <c r="B529" t="s">
        <v>401</v>
      </c>
      <c r="C529">
        <v>1</v>
      </c>
      <c r="D529">
        <v>1000</v>
      </c>
      <c r="E529">
        <v>1000</v>
      </c>
      <c r="F529">
        <v>4.0640000000000001</v>
      </c>
      <c r="G529">
        <v>4048</v>
      </c>
      <c r="H529">
        <v>13</v>
      </c>
      <c r="I529">
        <v>13</v>
      </c>
      <c r="J529">
        <v>0</v>
      </c>
      <c r="K529">
        <v>0</v>
      </c>
      <c r="L529">
        <v>332</v>
      </c>
      <c r="M529">
        <v>1</v>
      </c>
      <c r="N529">
        <v>100</v>
      </c>
      <c r="O529" s="2" t="str" cm="1">
        <f t="array" ref="O52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29" s="2" t="str" cm="1">
        <f t="array" ref="P529">_xlfn.IFS(Computed_insight___Success_of_active_sellers__2[[#This Row],[rating]]&gt;=4.5, "Excellent ", Computed_insight___Success_of_active_sellers__2[[#This Row],[rating]]&gt;=4, "Good ", Computed_insight___Success_of_active_sellers__2[[#This Row],[rating]]&gt;=3.5, "Average", TRUE, "Poor ")</f>
        <v xml:space="preserve">Good </v>
      </c>
      <c r="Q529" s="2" t="str" cm="1">
        <f t="array" ref="Q52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29" s="2" t="str">
        <f>IF(Computed_insight___Success_of_active_sellers__2[[#This Row],[totalurgencycount]]&gt;0, "Has Banner", "No Banner")</f>
        <v>Has Banner</v>
      </c>
    </row>
    <row r="530" spans="1:18" x14ac:dyDescent="0.3">
      <c r="A530">
        <v>528</v>
      </c>
      <c r="B530" t="s">
        <v>539</v>
      </c>
      <c r="C530">
        <v>1</v>
      </c>
      <c r="D530">
        <v>1000</v>
      </c>
      <c r="E530">
        <v>1000</v>
      </c>
      <c r="F530">
        <v>4.0650000000000004</v>
      </c>
      <c r="G530">
        <v>4434</v>
      </c>
      <c r="H530">
        <v>8</v>
      </c>
      <c r="I530">
        <v>7</v>
      </c>
      <c r="J530">
        <v>-14</v>
      </c>
      <c r="K530">
        <v>-14</v>
      </c>
      <c r="L530">
        <v>378</v>
      </c>
      <c r="O530" s="2" t="str" cm="1">
        <f t="array" ref="O53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30" s="2" t="str" cm="1">
        <f t="array" ref="P530">_xlfn.IFS(Computed_insight___Success_of_active_sellers__2[[#This Row],[rating]]&gt;=4.5, "Excellent ", Computed_insight___Success_of_active_sellers__2[[#This Row],[rating]]&gt;=4, "Good ", Computed_insight___Success_of_active_sellers__2[[#This Row],[rating]]&gt;=3.5, "Average", TRUE, "Poor ")</f>
        <v xml:space="preserve">Good </v>
      </c>
      <c r="Q530" s="2" t="str" cm="1">
        <f t="array" ref="Q53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30" s="2" t="str">
        <f>IF(Computed_insight___Success_of_active_sellers__2[[#This Row],[totalurgencycount]]&gt;0, "Has Banner", "No Banner")</f>
        <v>No Banner</v>
      </c>
    </row>
    <row r="531" spans="1:18" x14ac:dyDescent="0.3">
      <c r="A531">
        <v>529</v>
      </c>
      <c r="B531" t="s">
        <v>33</v>
      </c>
      <c r="C531">
        <v>1</v>
      </c>
      <c r="D531">
        <v>1000</v>
      </c>
      <c r="E531">
        <v>1000</v>
      </c>
      <c r="F531">
        <v>4.0659999999999998</v>
      </c>
      <c r="G531">
        <v>44837</v>
      </c>
      <c r="H531">
        <v>5.65</v>
      </c>
      <c r="I531">
        <v>6</v>
      </c>
      <c r="J531">
        <v>6</v>
      </c>
      <c r="K531">
        <v>6</v>
      </c>
      <c r="L531">
        <v>217</v>
      </c>
      <c r="O531" s="2" t="str" cm="1">
        <f t="array" ref="O53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31" s="2" t="str" cm="1">
        <f t="array" ref="P531">_xlfn.IFS(Computed_insight___Success_of_active_sellers__2[[#This Row],[rating]]&gt;=4.5, "Excellent ", Computed_insight___Success_of_active_sellers__2[[#This Row],[rating]]&gt;=4, "Good ", Computed_insight___Success_of_active_sellers__2[[#This Row],[rating]]&gt;=3.5, "Average", TRUE, "Poor ")</f>
        <v xml:space="preserve">Good </v>
      </c>
      <c r="Q531" s="2" t="str" cm="1">
        <f t="array" ref="Q531">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531" s="2" t="str">
        <f>IF(Computed_insight___Success_of_active_sellers__2[[#This Row],[totalurgencycount]]&gt;0, "Has Banner", "No Banner")</f>
        <v>No Banner</v>
      </c>
    </row>
    <row r="532" spans="1:18" x14ac:dyDescent="0.3">
      <c r="A532">
        <v>530</v>
      </c>
      <c r="B532" t="s">
        <v>746</v>
      </c>
      <c r="C532">
        <v>1</v>
      </c>
      <c r="D532">
        <v>1000</v>
      </c>
      <c r="E532">
        <v>1000</v>
      </c>
      <c r="F532">
        <v>4.0720000000000001</v>
      </c>
      <c r="G532">
        <v>1663</v>
      </c>
      <c r="H532">
        <v>5.82</v>
      </c>
      <c r="I532">
        <v>58</v>
      </c>
      <c r="J532">
        <v>90</v>
      </c>
      <c r="K532">
        <v>90</v>
      </c>
      <c r="L532">
        <v>623</v>
      </c>
      <c r="O532" s="2" t="str" cm="1">
        <f t="array" ref="O53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32" s="2" t="str" cm="1">
        <f t="array" ref="P532">_xlfn.IFS(Computed_insight___Success_of_active_sellers__2[[#This Row],[rating]]&gt;=4.5, "Excellent ", Computed_insight___Success_of_active_sellers__2[[#This Row],[rating]]&gt;=4, "Good ", Computed_insight___Success_of_active_sellers__2[[#This Row],[rating]]&gt;=3.5, "Average", TRUE, "Poor ")</f>
        <v xml:space="preserve">Good </v>
      </c>
      <c r="Q532" s="2" t="str" cm="1">
        <f t="array" ref="Q53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32" s="2" t="str">
        <f>IF(Computed_insight___Success_of_active_sellers__2[[#This Row],[totalurgencycount]]&gt;0, "Has Banner", "No Banner")</f>
        <v>No Banner</v>
      </c>
    </row>
    <row r="533" spans="1:18" x14ac:dyDescent="0.3">
      <c r="A533">
        <v>531</v>
      </c>
      <c r="B533" t="s">
        <v>729</v>
      </c>
      <c r="C533">
        <v>1</v>
      </c>
      <c r="D533">
        <v>1000</v>
      </c>
      <c r="E533">
        <v>1000</v>
      </c>
      <c r="F533">
        <v>4.0720000000000001</v>
      </c>
      <c r="G533">
        <v>6623</v>
      </c>
      <c r="H533">
        <v>8</v>
      </c>
      <c r="I533">
        <v>7</v>
      </c>
      <c r="J533">
        <v>-14</v>
      </c>
      <c r="K533">
        <v>-14</v>
      </c>
      <c r="L533">
        <v>111</v>
      </c>
      <c r="M533">
        <v>1</v>
      </c>
      <c r="N533">
        <v>100</v>
      </c>
      <c r="O533" s="2" t="str" cm="1">
        <f t="array" ref="O53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33" s="2" t="str" cm="1">
        <f t="array" ref="P533">_xlfn.IFS(Computed_insight___Success_of_active_sellers__2[[#This Row],[rating]]&gt;=4.5, "Excellent ", Computed_insight___Success_of_active_sellers__2[[#This Row],[rating]]&gt;=4, "Good ", Computed_insight___Success_of_active_sellers__2[[#This Row],[rating]]&gt;=3.5, "Average", TRUE, "Poor ")</f>
        <v xml:space="preserve">Good </v>
      </c>
      <c r="Q533" s="2" t="str" cm="1">
        <f t="array" ref="Q53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33" s="2" t="str">
        <f>IF(Computed_insight___Success_of_active_sellers__2[[#This Row],[totalurgencycount]]&gt;0, "Has Banner", "No Banner")</f>
        <v>Has Banner</v>
      </c>
    </row>
    <row r="534" spans="1:18" x14ac:dyDescent="0.3">
      <c r="A534">
        <v>532</v>
      </c>
      <c r="B534" t="s">
        <v>901</v>
      </c>
      <c r="C534">
        <v>1</v>
      </c>
      <c r="D534">
        <v>1000</v>
      </c>
      <c r="E534">
        <v>1000</v>
      </c>
      <c r="F534">
        <v>4.0750000000000002</v>
      </c>
      <c r="G534">
        <v>161</v>
      </c>
      <c r="H534">
        <v>5.69</v>
      </c>
      <c r="I534">
        <v>10</v>
      </c>
      <c r="J534">
        <v>44</v>
      </c>
      <c r="K534">
        <v>44</v>
      </c>
      <c r="L534">
        <v>76</v>
      </c>
      <c r="O534" s="2" t="str" cm="1">
        <f t="array" ref="O53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34" s="2" t="str" cm="1">
        <f t="array" ref="P534">_xlfn.IFS(Computed_insight___Success_of_active_sellers__2[[#This Row],[rating]]&gt;=4.5, "Excellent ", Computed_insight___Success_of_active_sellers__2[[#This Row],[rating]]&gt;=4, "Good ", Computed_insight___Success_of_active_sellers__2[[#This Row],[rating]]&gt;=3.5, "Average", TRUE, "Poor ")</f>
        <v xml:space="preserve">Good </v>
      </c>
      <c r="Q534" s="2" t="str" cm="1">
        <f t="array" ref="Q534">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534" s="2" t="str">
        <f>IF(Computed_insight___Success_of_active_sellers__2[[#This Row],[totalurgencycount]]&gt;0, "Has Banner", "No Banner")</f>
        <v>No Banner</v>
      </c>
    </row>
    <row r="535" spans="1:18" x14ac:dyDescent="0.3">
      <c r="A535">
        <v>533</v>
      </c>
      <c r="B535" t="s">
        <v>403</v>
      </c>
      <c r="C535">
        <v>1</v>
      </c>
      <c r="D535">
        <v>1000</v>
      </c>
      <c r="E535">
        <v>1000</v>
      </c>
      <c r="F535">
        <v>4.0780000000000003</v>
      </c>
      <c r="G535">
        <v>6300</v>
      </c>
      <c r="H535">
        <v>11</v>
      </c>
      <c r="I535">
        <v>10</v>
      </c>
      <c r="J535">
        <v>-10</v>
      </c>
      <c r="K535">
        <v>-10</v>
      </c>
      <c r="L535">
        <v>100</v>
      </c>
      <c r="O535" s="2" t="str" cm="1">
        <f t="array" ref="O53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35" s="2" t="str" cm="1">
        <f t="array" ref="P535">_xlfn.IFS(Computed_insight___Success_of_active_sellers__2[[#This Row],[rating]]&gt;=4.5, "Excellent ", Computed_insight___Success_of_active_sellers__2[[#This Row],[rating]]&gt;=4, "Good ", Computed_insight___Success_of_active_sellers__2[[#This Row],[rating]]&gt;=3.5, "Average", TRUE, "Poor ")</f>
        <v xml:space="preserve">Good </v>
      </c>
      <c r="Q535" s="2" t="str" cm="1">
        <f t="array" ref="Q53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35" s="2" t="str">
        <f>IF(Computed_insight___Success_of_active_sellers__2[[#This Row],[totalurgencycount]]&gt;0, "Has Banner", "No Banner")</f>
        <v>No Banner</v>
      </c>
    </row>
    <row r="536" spans="1:18" x14ac:dyDescent="0.3">
      <c r="A536">
        <v>534</v>
      </c>
      <c r="B536" t="s">
        <v>795</v>
      </c>
      <c r="C536">
        <v>1</v>
      </c>
      <c r="D536">
        <v>1000</v>
      </c>
      <c r="E536">
        <v>1000</v>
      </c>
      <c r="F536">
        <v>4.0789999999999997</v>
      </c>
      <c r="G536">
        <v>9651</v>
      </c>
      <c r="H536">
        <v>3.71</v>
      </c>
      <c r="I536">
        <v>6</v>
      </c>
      <c r="J536">
        <v>39</v>
      </c>
      <c r="K536">
        <v>39</v>
      </c>
      <c r="L536">
        <v>181</v>
      </c>
      <c r="O536" s="2" t="str" cm="1">
        <f t="array" ref="O53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36" s="2" t="str" cm="1">
        <f t="array" ref="P536">_xlfn.IFS(Computed_insight___Success_of_active_sellers__2[[#This Row],[rating]]&gt;=4.5, "Excellent ", Computed_insight___Success_of_active_sellers__2[[#This Row],[rating]]&gt;=4, "Good ", Computed_insight___Success_of_active_sellers__2[[#This Row],[rating]]&gt;=3.5, "Average", TRUE, "Poor ")</f>
        <v xml:space="preserve">Good </v>
      </c>
      <c r="Q536" s="2" t="str" cm="1">
        <f t="array" ref="Q536">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536" s="2" t="str">
        <f>IF(Computed_insight___Success_of_active_sellers__2[[#This Row],[totalurgencycount]]&gt;0, "Has Banner", "No Banner")</f>
        <v>No Banner</v>
      </c>
    </row>
    <row r="537" spans="1:18" x14ac:dyDescent="0.3">
      <c r="A537">
        <v>535</v>
      </c>
      <c r="B537" t="s">
        <v>688</v>
      </c>
      <c r="C537">
        <v>1</v>
      </c>
      <c r="D537">
        <v>1000</v>
      </c>
      <c r="E537">
        <v>1000</v>
      </c>
      <c r="F537">
        <v>4.08</v>
      </c>
      <c r="G537">
        <v>72885</v>
      </c>
      <c r="H537">
        <v>3</v>
      </c>
      <c r="I537">
        <v>5</v>
      </c>
      <c r="J537">
        <v>40</v>
      </c>
      <c r="K537">
        <v>40</v>
      </c>
      <c r="L537">
        <v>327</v>
      </c>
      <c r="M537">
        <v>1</v>
      </c>
      <c r="N537">
        <v>100</v>
      </c>
      <c r="O537" s="2" t="str" cm="1">
        <f t="array" ref="O53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37" s="2" t="str" cm="1">
        <f t="array" ref="P537">_xlfn.IFS(Computed_insight___Success_of_active_sellers__2[[#This Row],[rating]]&gt;=4.5, "Excellent ", Computed_insight___Success_of_active_sellers__2[[#This Row],[rating]]&gt;=4, "Good ", Computed_insight___Success_of_active_sellers__2[[#This Row],[rating]]&gt;=3.5, "Average", TRUE, "Poor ")</f>
        <v xml:space="preserve">Good </v>
      </c>
      <c r="Q537" s="2" t="str" cm="1">
        <f t="array" ref="Q537">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537" s="2" t="str">
        <f>IF(Computed_insight___Success_of_active_sellers__2[[#This Row],[totalurgencycount]]&gt;0, "Has Banner", "No Banner")</f>
        <v>Has Banner</v>
      </c>
    </row>
    <row r="538" spans="1:18" x14ac:dyDescent="0.3">
      <c r="A538">
        <v>536</v>
      </c>
      <c r="B538" t="s">
        <v>769</v>
      </c>
      <c r="C538">
        <v>1</v>
      </c>
      <c r="D538">
        <v>1000</v>
      </c>
      <c r="E538">
        <v>1000</v>
      </c>
      <c r="F538">
        <v>4.08</v>
      </c>
      <c r="G538">
        <v>2867</v>
      </c>
      <c r="H538">
        <v>8</v>
      </c>
      <c r="I538">
        <v>30</v>
      </c>
      <c r="J538">
        <v>74</v>
      </c>
      <c r="K538">
        <v>74</v>
      </c>
      <c r="L538">
        <v>65</v>
      </c>
      <c r="M538">
        <v>1</v>
      </c>
      <c r="N538">
        <v>100</v>
      </c>
      <c r="O538" s="2" t="str" cm="1">
        <f t="array" ref="O53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38" s="2" t="str" cm="1">
        <f t="array" ref="P538">_xlfn.IFS(Computed_insight___Success_of_active_sellers__2[[#This Row],[rating]]&gt;=4.5, "Excellent ", Computed_insight___Success_of_active_sellers__2[[#This Row],[rating]]&gt;=4, "Good ", Computed_insight___Success_of_active_sellers__2[[#This Row],[rating]]&gt;=3.5, "Average", TRUE, "Poor ")</f>
        <v xml:space="preserve">Good </v>
      </c>
      <c r="Q538" s="2" t="str" cm="1">
        <f t="array" ref="Q53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38" s="2" t="str">
        <f>IF(Computed_insight___Success_of_active_sellers__2[[#This Row],[totalurgencycount]]&gt;0, "Has Banner", "No Banner")</f>
        <v>Has Banner</v>
      </c>
    </row>
    <row r="539" spans="1:18" x14ac:dyDescent="0.3">
      <c r="A539">
        <v>537</v>
      </c>
      <c r="B539" t="s">
        <v>46</v>
      </c>
      <c r="C539">
        <v>1</v>
      </c>
      <c r="D539">
        <v>1000</v>
      </c>
      <c r="E539">
        <v>1000</v>
      </c>
      <c r="F539">
        <v>4.0860000000000003</v>
      </c>
      <c r="G539">
        <v>9136</v>
      </c>
      <c r="H539">
        <v>13</v>
      </c>
      <c r="I539">
        <v>50</v>
      </c>
      <c r="J539">
        <v>74</v>
      </c>
      <c r="K539">
        <v>74</v>
      </c>
      <c r="L539">
        <v>855</v>
      </c>
      <c r="O539" s="2" t="str" cm="1">
        <f t="array" ref="O53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39" s="2" t="str" cm="1">
        <f t="array" ref="P539">_xlfn.IFS(Computed_insight___Success_of_active_sellers__2[[#This Row],[rating]]&gt;=4.5, "Excellent ", Computed_insight___Success_of_active_sellers__2[[#This Row],[rating]]&gt;=4, "Good ", Computed_insight___Success_of_active_sellers__2[[#This Row],[rating]]&gt;=3.5, "Average", TRUE, "Poor ")</f>
        <v xml:space="preserve">Good </v>
      </c>
      <c r="Q539" s="2" t="str" cm="1">
        <f t="array" ref="Q53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39" s="2" t="str">
        <f>IF(Computed_insight___Success_of_active_sellers__2[[#This Row],[totalurgencycount]]&gt;0, "Has Banner", "No Banner")</f>
        <v>No Banner</v>
      </c>
    </row>
    <row r="540" spans="1:18" x14ac:dyDescent="0.3">
      <c r="A540">
        <v>538</v>
      </c>
      <c r="B540" t="s">
        <v>274</v>
      </c>
      <c r="C540">
        <v>1</v>
      </c>
      <c r="D540">
        <v>1000</v>
      </c>
      <c r="E540">
        <v>1000</v>
      </c>
      <c r="F540">
        <v>4.09</v>
      </c>
      <c r="G540">
        <v>1761</v>
      </c>
      <c r="H540">
        <v>8</v>
      </c>
      <c r="I540">
        <v>8</v>
      </c>
      <c r="J540">
        <v>0</v>
      </c>
      <c r="K540">
        <v>0</v>
      </c>
      <c r="L540">
        <v>187</v>
      </c>
      <c r="M540">
        <v>1</v>
      </c>
      <c r="N540">
        <v>100</v>
      </c>
      <c r="O540" s="2" t="str" cm="1">
        <f t="array" ref="O54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40" s="2" t="str" cm="1">
        <f t="array" ref="P540">_xlfn.IFS(Computed_insight___Success_of_active_sellers__2[[#This Row],[rating]]&gt;=4.5, "Excellent ", Computed_insight___Success_of_active_sellers__2[[#This Row],[rating]]&gt;=4, "Good ", Computed_insight___Success_of_active_sellers__2[[#This Row],[rating]]&gt;=3.5, "Average", TRUE, "Poor ")</f>
        <v xml:space="preserve">Good </v>
      </c>
      <c r="Q540" s="2" t="str" cm="1">
        <f t="array" ref="Q54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40" s="2" t="str">
        <f>IF(Computed_insight___Success_of_active_sellers__2[[#This Row],[totalurgencycount]]&gt;0, "Has Banner", "No Banner")</f>
        <v>Has Banner</v>
      </c>
    </row>
    <row r="541" spans="1:18" x14ac:dyDescent="0.3">
      <c r="A541">
        <v>539</v>
      </c>
      <c r="B541" t="s">
        <v>612</v>
      </c>
      <c r="C541">
        <v>1</v>
      </c>
      <c r="D541">
        <v>1000</v>
      </c>
      <c r="E541">
        <v>1000</v>
      </c>
      <c r="F541">
        <v>4.0919999999999996</v>
      </c>
      <c r="G541">
        <v>2505</v>
      </c>
      <c r="H541">
        <v>6</v>
      </c>
      <c r="I541">
        <v>9</v>
      </c>
      <c r="J541">
        <v>34</v>
      </c>
      <c r="K541">
        <v>34</v>
      </c>
      <c r="L541">
        <v>471</v>
      </c>
      <c r="O541" s="2" t="str" cm="1">
        <f t="array" ref="O54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41" s="2" t="str" cm="1">
        <f t="array" ref="P541">_xlfn.IFS(Computed_insight___Success_of_active_sellers__2[[#This Row],[rating]]&gt;=4.5, "Excellent ", Computed_insight___Success_of_active_sellers__2[[#This Row],[rating]]&gt;=4, "Good ", Computed_insight___Success_of_active_sellers__2[[#This Row],[rating]]&gt;=3.5, "Average", TRUE, "Poor ")</f>
        <v xml:space="preserve">Good </v>
      </c>
      <c r="Q541" s="2" t="str" cm="1">
        <f t="array" ref="Q541">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541" s="2" t="str">
        <f>IF(Computed_insight___Success_of_active_sellers__2[[#This Row],[totalurgencycount]]&gt;0, "Has Banner", "No Banner")</f>
        <v>No Banner</v>
      </c>
    </row>
    <row r="542" spans="1:18" x14ac:dyDescent="0.3">
      <c r="A542">
        <v>540</v>
      </c>
      <c r="B542" t="s">
        <v>538</v>
      </c>
      <c r="C542">
        <v>1</v>
      </c>
      <c r="D542">
        <v>1000</v>
      </c>
      <c r="E542">
        <v>1000</v>
      </c>
      <c r="F542">
        <v>4.0949999999999998</v>
      </c>
      <c r="G542">
        <v>15948</v>
      </c>
      <c r="H542">
        <v>5</v>
      </c>
      <c r="I542">
        <v>5</v>
      </c>
      <c r="J542">
        <v>0</v>
      </c>
      <c r="K542">
        <v>0</v>
      </c>
      <c r="L542">
        <v>252</v>
      </c>
      <c r="M542">
        <v>1</v>
      </c>
      <c r="N542">
        <v>100</v>
      </c>
      <c r="O542" s="2" t="str" cm="1">
        <f t="array" ref="O54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42" s="2" t="str" cm="1">
        <f t="array" ref="P542">_xlfn.IFS(Computed_insight___Success_of_active_sellers__2[[#This Row],[rating]]&gt;=4.5, "Excellent ", Computed_insight___Success_of_active_sellers__2[[#This Row],[rating]]&gt;=4, "Good ", Computed_insight___Success_of_active_sellers__2[[#This Row],[rating]]&gt;=3.5, "Average", TRUE, "Poor ")</f>
        <v xml:space="preserve">Good </v>
      </c>
      <c r="Q542" s="2" t="str" cm="1">
        <f t="array" ref="Q54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42" s="2" t="str">
        <f>IF(Computed_insight___Success_of_active_sellers__2[[#This Row],[totalurgencycount]]&gt;0, "Has Banner", "No Banner")</f>
        <v>Has Banner</v>
      </c>
    </row>
    <row r="543" spans="1:18" x14ac:dyDescent="0.3">
      <c r="A543">
        <v>541</v>
      </c>
      <c r="B543" t="s">
        <v>394</v>
      </c>
      <c r="C543">
        <v>1</v>
      </c>
      <c r="D543">
        <v>1000</v>
      </c>
      <c r="E543">
        <v>1000</v>
      </c>
      <c r="F543">
        <v>4.0979999999999999</v>
      </c>
      <c r="G543">
        <v>541</v>
      </c>
      <c r="H543">
        <v>22</v>
      </c>
      <c r="I543">
        <v>159</v>
      </c>
      <c r="J543">
        <v>87</v>
      </c>
      <c r="K543">
        <v>87</v>
      </c>
      <c r="L543">
        <v>235</v>
      </c>
      <c r="O543" s="2" t="str" cm="1">
        <f t="array" ref="O54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43" s="2" t="str" cm="1">
        <f t="array" ref="P543">_xlfn.IFS(Computed_insight___Success_of_active_sellers__2[[#This Row],[rating]]&gt;=4.5, "Excellent ", Computed_insight___Success_of_active_sellers__2[[#This Row],[rating]]&gt;=4, "Good ", Computed_insight___Success_of_active_sellers__2[[#This Row],[rating]]&gt;=3.5, "Average", TRUE, "Poor ")</f>
        <v xml:space="preserve">Good </v>
      </c>
      <c r="Q543" s="2" t="str" cm="1">
        <f t="array" ref="Q54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43" s="2" t="str">
        <f>IF(Computed_insight___Success_of_active_sellers__2[[#This Row],[totalurgencycount]]&gt;0, "Has Banner", "No Banner")</f>
        <v>No Banner</v>
      </c>
    </row>
    <row r="544" spans="1:18" x14ac:dyDescent="0.3">
      <c r="A544">
        <v>542</v>
      </c>
      <c r="B544" t="s">
        <v>751</v>
      </c>
      <c r="C544">
        <v>1</v>
      </c>
      <c r="D544">
        <v>1000</v>
      </c>
      <c r="E544">
        <v>1000</v>
      </c>
      <c r="F544">
        <v>4.101</v>
      </c>
      <c r="G544">
        <v>6256</v>
      </c>
      <c r="H544">
        <v>13</v>
      </c>
      <c r="I544">
        <v>43</v>
      </c>
      <c r="J544">
        <v>70</v>
      </c>
      <c r="K544">
        <v>70</v>
      </c>
      <c r="L544">
        <v>65</v>
      </c>
      <c r="M544">
        <v>1</v>
      </c>
      <c r="N544">
        <v>100</v>
      </c>
      <c r="O544" s="2" t="str" cm="1">
        <f t="array" ref="O54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44" s="2" t="str" cm="1">
        <f t="array" ref="P544">_xlfn.IFS(Computed_insight___Success_of_active_sellers__2[[#This Row],[rating]]&gt;=4.5, "Excellent ", Computed_insight___Success_of_active_sellers__2[[#This Row],[rating]]&gt;=4, "Good ", Computed_insight___Success_of_active_sellers__2[[#This Row],[rating]]&gt;=3.5, "Average", TRUE, "Poor ")</f>
        <v xml:space="preserve">Good </v>
      </c>
      <c r="Q544" s="2" t="str" cm="1">
        <f t="array" ref="Q54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44" s="2" t="str">
        <f>IF(Computed_insight___Success_of_active_sellers__2[[#This Row],[totalurgencycount]]&gt;0, "Has Banner", "No Banner")</f>
        <v>Has Banner</v>
      </c>
    </row>
    <row r="545" spans="1:18" x14ac:dyDescent="0.3">
      <c r="A545">
        <v>543</v>
      </c>
      <c r="B545" t="s">
        <v>469</v>
      </c>
      <c r="C545">
        <v>1</v>
      </c>
      <c r="D545">
        <v>1000</v>
      </c>
      <c r="E545">
        <v>1000</v>
      </c>
      <c r="F545">
        <v>4.1100000000000003</v>
      </c>
      <c r="G545">
        <v>3804</v>
      </c>
      <c r="H545">
        <v>3.76</v>
      </c>
      <c r="I545">
        <v>4</v>
      </c>
      <c r="J545">
        <v>6</v>
      </c>
      <c r="K545">
        <v>6</v>
      </c>
      <c r="L545">
        <v>95</v>
      </c>
      <c r="O545" s="2" t="str" cm="1">
        <f t="array" ref="O54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45" s="2" t="str" cm="1">
        <f t="array" ref="P545">_xlfn.IFS(Computed_insight___Success_of_active_sellers__2[[#This Row],[rating]]&gt;=4.5, "Excellent ", Computed_insight___Success_of_active_sellers__2[[#This Row],[rating]]&gt;=4, "Good ", Computed_insight___Success_of_active_sellers__2[[#This Row],[rating]]&gt;=3.5, "Average", TRUE, "Poor ")</f>
        <v xml:space="preserve">Good </v>
      </c>
      <c r="Q545" s="2" t="str" cm="1">
        <f t="array" ref="Q545">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545" s="2" t="str">
        <f>IF(Computed_insight___Success_of_active_sellers__2[[#This Row],[totalurgencycount]]&gt;0, "Has Banner", "No Banner")</f>
        <v>No Banner</v>
      </c>
    </row>
    <row r="546" spans="1:18" x14ac:dyDescent="0.3">
      <c r="A546">
        <v>544</v>
      </c>
      <c r="B546" t="s">
        <v>622</v>
      </c>
      <c r="C546">
        <v>1</v>
      </c>
      <c r="D546">
        <v>1000</v>
      </c>
      <c r="E546">
        <v>1000</v>
      </c>
      <c r="F546">
        <v>4.1150000000000002</v>
      </c>
      <c r="G546">
        <v>28101</v>
      </c>
      <c r="H546">
        <v>8</v>
      </c>
      <c r="I546">
        <v>7</v>
      </c>
      <c r="J546">
        <v>-14</v>
      </c>
      <c r="K546">
        <v>-14</v>
      </c>
      <c r="L546">
        <v>650</v>
      </c>
      <c r="O546" s="2" t="str" cm="1">
        <f t="array" ref="O54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46" s="2" t="str" cm="1">
        <f t="array" ref="P546">_xlfn.IFS(Computed_insight___Success_of_active_sellers__2[[#This Row],[rating]]&gt;=4.5, "Excellent ", Computed_insight___Success_of_active_sellers__2[[#This Row],[rating]]&gt;=4, "Good ", Computed_insight___Success_of_active_sellers__2[[#This Row],[rating]]&gt;=3.5, "Average", TRUE, "Poor ")</f>
        <v xml:space="preserve">Good </v>
      </c>
      <c r="Q546" s="2" t="str" cm="1">
        <f t="array" ref="Q54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46" s="2" t="str">
        <f>IF(Computed_insight___Success_of_active_sellers__2[[#This Row],[totalurgencycount]]&gt;0, "Has Banner", "No Banner")</f>
        <v>No Banner</v>
      </c>
    </row>
    <row r="547" spans="1:18" x14ac:dyDescent="0.3">
      <c r="A547">
        <v>545</v>
      </c>
      <c r="B547" t="s">
        <v>826</v>
      </c>
      <c r="C547">
        <v>1</v>
      </c>
      <c r="D547">
        <v>1000</v>
      </c>
      <c r="E547">
        <v>1000</v>
      </c>
      <c r="F547">
        <v>4.12</v>
      </c>
      <c r="G547">
        <v>543</v>
      </c>
      <c r="H547">
        <v>2</v>
      </c>
      <c r="I547">
        <v>6</v>
      </c>
      <c r="J547">
        <v>67</v>
      </c>
      <c r="K547">
        <v>67</v>
      </c>
      <c r="L547">
        <v>121</v>
      </c>
      <c r="O547" s="2" t="str" cm="1">
        <f t="array" ref="O54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47" s="2" t="str" cm="1">
        <f t="array" ref="P547">_xlfn.IFS(Computed_insight___Success_of_active_sellers__2[[#This Row],[rating]]&gt;=4.5, "Excellent ", Computed_insight___Success_of_active_sellers__2[[#This Row],[rating]]&gt;=4, "Good ", Computed_insight___Success_of_active_sellers__2[[#This Row],[rating]]&gt;=3.5, "Average", TRUE, "Poor ")</f>
        <v xml:space="preserve">Good </v>
      </c>
      <c r="Q547" s="2" t="str" cm="1">
        <f t="array" ref="Q54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47" s="2" t="str">
        <f>IF(Computed_insight___Success_of_active_sellers__2[[#This Row],[totalurgencycount]]&gt;0, "Has Banner", "No Banner")</f>
        <v>No Banner</v>
      </c>
    </row>
    <row r="548" spans="1:18" x14ac:dyDescent="0.3">
      <c r="A548">
        <v>546</v>
      </c>
      <c r="B548" t="s">
        <v>14</v>
      </c>
      <c r="C548">
        <v>1</v>
      </c>
      <c r="D548">
        <v>1000</v>
      </c>
      <c r="E548">
        <v>1000</v>
      </c>
      <c r="F548">
        <v>4.1239999999999997</v>
      </c>
      <c r="G548">
        <v>557</v>
      </c>
      <c r="H548">
        <v>1.91</v>
      </c>
      <c r="I548">
        <v>6</v>
      </c>
      <c r="J548">
        <v>69</v>
      </c>
      <c r="K548">
        <v>69</v>
      </c>
      <c r="L548">
        <v>141</v>
      </c>
      <c r="O548" s="2" t="str" cm="1">
        <f t="array" ref="O54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48" s="2" t="str" cm="1">
        <f t="array" ref="P548">_xlfn.IFS(Computed_insight___Success_of_active_sellers__2[[#This Row],[rating]]&gt;=4.5, "Excellent ", Computed_insight___Success_of_active_sellers__2[[#This Row],[rating]]&gt;=4, "Good ", Computed_insight___Success_of_active_sellers__2[[#This Row],[rating]]&gt;=3.5, "Average", TRUE, "Poor ")</f>
        <v xml:space="preserve">Good </v>
      </c>
      <c r="Q548" s="2" t="str" cm="1">
        <f t="array" ref="Q54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48" s="2" t="str">
        <f>IF(Computed_insight___Success_of_active_sellers__2[[#This Row],[totalurgencycount]]&gt;0, "Has Banner", "No Banner")</f>
        <v>No Banner</v>
      </c>
    </row>
    <row r="549" spans="1:18" x14ac:dyDescent="0.3">
      <c r="A549">
        <v>547</v>
      </c>
      <c r="B549" t="s">
        <v>138</v>
      </c>
      <c r="C549">
        <v>1</v>
      </c>
      <c r="D549">
        <v>1000</v>
      </c>
      <c r="E549">
        <v>1000</v>
      </c>
      <c r="F549">
        <v>4.1260000000000003</v>
      </c>
      <c r="G549">
        <v>2745</v>
      </c>
      <c r="H549">
        <v>8</v>
      </c>
      <c r="I549">
        <v>7</v>
      </c>
      <c r="J549">
        <v>-14</v>
      </c>
      <c r="K549">
        <v>-14</v>
      </c>
      <c r="L549">
        <v>267</v>
      </c>
      <c r="M549">
        <v>1</v>
      </c>
      <c r="N549">
        <v>100</v>
      </c>
      <c r="O549" s="2" t="str" cm="1">
        <f t="array" ref="O54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49" s="2" t="str" cm="1">
        <f t="array" ref="P549">_xlfn.IFS(Computed_insight___Success_of_active_sellers__2[[#This Row],[rating]]&gt;=4.5, "Excellent ", Computed_insight___Success_of_active_sellers__2[[#This Row],[rating]]&gt;=4, "Good ", Computed_insight___Success_of_active_sellers__2[[#This Row],[rating]]&gt;=3.5, "Average", TRUE, "Poor ")</f>
        <v xml:space="preserve">Good </v>
      </c>
      <c r="Q549" s="2" t="str" cm="1">
        <f t="array" ref="Q54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49" s="2" t="str">
        <f>IF(Computed_insight___Success_of_active_sellers__2[[#This Row],[totalurgencycount]]&gt;0, "Has Banner", "No Banner")</f>
        <v>Has Banner</v>
      </c>
    </row>
    <row r="550" spans="1:18" x14ac:dyDescent="0.3">
      <c r="A550">
        <v>548</v>
      </c>
      <c r="B550" t="s">
        <v>592</v>
      </c>
      <c r="C550">
        <v>1</v>
      </c>
      <c r="D550">
        <v>1000</v>
      </c>
      <c r="E550">
        <v>1000</v>
      </c>
      <c r="F550">
        <v>4.1269999999999998</v>
      </c>
      <c r="G550">
        <v>3117</v>
      </c>
      <c r="H550">
        <v>3.87</v>
      </c>
      <c r="I550">
        <v>4</v>
      </c>
      <c r="J550">
        <v>4</v>
      </c>
      <c r="K550">
        <v>4</v>
      </c>
      <c r="L550">
        <v>94</v>
      </c>
      <c r="O550" s="2" t="str" cm="1">
        <f t="array" ref="O55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50" s="2" t="str" cm="1">
        <f t="array" ref="P550">_xlfn.IFS(Computed_insight___Success_of_active_sellers__2[[#This Row],[rating]]&gt;=4.5, "Excellent ", Computed_insight___Success_of_active_sellers__2[[#This Row],[rating]]&gt;=4, "Good ", Computed_insight___Success_of_active_sellers__2[[#This Row],[rating]]&gt;=3.5, "Average", TRUE, "Poor ")</f>
        <v xml:space="preserve">Good </v>
      </c>
      <c r="Q550" s="2" t="str" cm="1">
        <f t="array" ref="Q550">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550" s="2" t="str">
        <f>IF(Computed_insight___Success_of_active_sellers__2[[#This Row],[totalurgencycount]]&gt;0, "Has Banner", "No Banner")</f>
        <v>No Banner</v>
      </c>
    </row>
    <row r="551" spans="1:18" x14ac:dyDescent="0.3">
      <c r="A551">
        <v>549</v>
      </c>
      <c r="B551" t="s">
        <v>851</v>
      </c>
      <c r="C551">
        <v>1</v>
      </c>
      <c r="D551">
        <v>1000</v>
      </c>
      <c r="E551">
        <v>1000</v>
      </c>
      <c r="F551">
        <v>4.1319999999999997</v>
      </c>
      <c r="G551">
        <v>6364</v>
      </c>
      <c r="H551">
        <v>11</v>
      </c>
      <c r="I551">
        <v>10</v>
      </c>
      <c r="J551">
        <v>-10</v>
      </c>
      <c r="K551">
        <v>-10</v>
      </c>
      <c r="L551">
        <v>483</v>
      </c>
      <c r="O551" s="2" t="str" cm="1">
        <f t="array" ref="O55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51" s="2" t="str" cm="1">
        <f t="array" ref="P551">_xlfn.IFS(Computed_insight___Success_of_active_sellers__2[[#This Row],[rating]]&gt;=4.5, "Excellent ", Computed_insight___Success_of_active_sellers__2[[#This Row],[rating]]&gt;=4, "Good ", Computed_insight___Success_of_active_sellers__2[[#This Row],[rating]]&gt;=3.5, "Average", TRUE, "Poor ")</f>
        <v xml:space="preserve">Good </v>
      </c>
      <c r="Q551" s="2" t="str" cm="1">
        <f t="array" ref="Q55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51" s="2" t="str">
        <f>IF(Computed_insight___Success_of_active_sellers__2[[#This Row],[totalurgencycount]]&gt;0, "Has Banner", "No Banner")</f>
        <v>No Banner</v>
      </c>
    </row>
    <row r="552" spans="1:18" x14ac:dyDescent="0.3">
      <c r="A552">
        <v>550</v>
      </c>
      <c r="B552" t="s">
        <v>425</v>
      </c>
      <c r="C552">
        <v>1</v>
      </c>
      <c r="D552">
        <v>1000</v>
      </c>
      <c r="E552">
        <v>1000</v>
      </c>
      <c r="F552">
        <v>4.1360000000000001</v>
      </c>
      <c r="G552">
        <v>5880</v>
      </c>
      <c r="H552">
        <v>11</v>
      </c>
      <c r="I552">
        <v>17</v>
      </c>
      <c r="J552">
        <v>36</v>
      </c>
      <c r="K552">
        <v>36</v>
      </c>
      <c r="L552">
        <v>462</v>
      </c>
      <c r="M552">
        <v>1</v>
      </c>
      <c r="N552">
        <v>100</v>
      </c>
      <c r="O552" s="2" t="str" cm="1">
        <f t="array" ref="O55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52" s="2" t="str" cm="1">
        <f t="array" ref="P552">_xlfn.IFS(Computed_insight___Success_of_active_sellers__2[[#This Row],[rating]]&gt;=4.5, "Excellent ", Computed_insight___Success_of_active_sellers__2[[#This Row],[rating]]&gt;=4, "Good ", Computed_insight___Success_of_active_sellers__2[[#This Row],[rating]]&gt;=3.5, "Average", TRUE, "Poor ")</f>
        <v xml:space="preserve">Good </v>
      </c>
      <c r="Q552" s="2" t="str" cm="1">
        <f t="array" ref="Q552">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552" s="2" t="str">
        <f>IF(Computed_insight___Success_of_active_sellers__2[[#This Row],[totalurgencycount]]&gt;0, "Has Banner", "No Banner")</f>
        <v>Has Banner</v>
      </c>
    </row>
    <row r="553" spans="1:18" x14ac:dyDescent="0.3">
      <c r="A553">
        <v>551</v>
      </c>
      <c r="B553" t="s">
        <v>436</v>
      </c>
      <c r="C553">
        <v>1</v>
      </c>
      <c r="D553">
        <v>1000</v>
      </c>
      <c r="E553">
        <v>1000</v>
      </c>
      <c r="F553">
        <v>4.1369999999999996</v>
      </c>
      <c r="G553">
        <v>7348</v>
      </c>
      <c r="H553">
        <v>8</v>
      </c>
      <c r="I553">
        <v>7</v>
      </c>
      <c r="J553">
        <v>-14</v>
      </c>
      <c r="K553">
        <v>-14</v>
      </c>
      <c r="L553">
        <v>120</v>
      </c>
      <c r="O553" s="2" t="str" cm="1">
        <f t="array" ref="O55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53" s="2" t="str" cm="1">
        <f t="array" ref="P553">_xlfn.IFS(Computed_insight___Success_of_active_sellers__2[[#This Row],[rating]]&gt;=4.5, "Excellent ", Computed_insight___Success_of_active_sellers__2[[#This Row],[rating]]&gt;=4, "Good ", Computed_insight___Success_of_active_sellers__2[[#This Row],[rating]]&gt;=3.5, "Average", TRUE, "Poor ")</f>
        <v xml:space="preserve">Good </v>
      </c>
      <c r="Q553" s="2" t="str" cm="1">
        <f t="array" ref="Q55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53" s="2" t="str">
        <f>IF(Computed_insight___Success_of_active_sellers__2[[#This Row],[totalurgencycount]]&gt;0, "Has Banner", "No Banner")</f>
        <v>No Banner</v>
      </c>
    </row>
    <row r="554" spans="1:18" x14ac:dyDescent="0.3">
      <c r="A554">
        <v>552</v>
      </c>
      <c r="B554" t="s">
        <v>160</v>
      </c>
      <c r="C554">
        <v>1</v>
      </c>
      <c r="D554">
        <v>1000</v>
      </c>
      <c r="E554">
        <v>1000</v>
      </c>
      <c r="F554">
        <v>4.141</v>
      </c>
      <c r="G554">
        <v>6460</v>
      </c>
      <c r="H554">
        <v>11</v>
      </c>
      <c r="I554">
        <v>84</v>
      </c>
      <c r="J554">
        <v>87</v>
      </c>
      <c r="K554">
        <v>87</v>
      </c>
      <c r="L554">
        <v>792</v>
      </c>
      <c r="O554" s="2" t="str" cm="1">
        <f t="array" ref="O55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54" s="2" t="str" cm="1">
        <f t="array" ref="P554">_xlfn.IFS(Computed_insight___Success_of_active_sellers__2[[#This Row],[rating]]&gt;=4.5, "Excellent ", Computed_insight___Success_of_active_sellers__2[[#This Row],[rating]]&gt;=4, "Good ", Computed_insight___Success_of_active_sellers__2[[#This Row],[rating]]&gt;=3.5, "Average", TRUE, "Poor ")</f>
        <v xml:space="preserve">Good </v>
      </c>
      <c r="Q554" s="2" t="str" cm="1">
        <f t="array" ref="Q55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54" s="2" t="str">
        <f>IF(Computed_insight___Success_of_active_sellers__2[[#This Row],[totalurgencycount]]&gt;0, "Has Banner", "No Banner")</f>
        <v>No Banner</v>
      </c>
    </row>
    <row r="555" spans="1:18" x14ac:dyDescent="0.3">
      <c r="A555">
        <v>553</v>
      </c>
      <c r="B555" t="s">
        <v>675</v>
      </c>
      <c r="C555">
        <v>1</v>
      </c>
      <c r="D555">
        <v>1000</v>
      </c>
      <c r="E555">
        <v>1000</v>
      </c>
      <c r="F555">
        <v>4.1420000000000003</v>
      </c>
      <c r="G555">
        <v>19760</v>
      </c>
      <c r="H555">
        <v>8</v>
      </c>
      <c r="I555">
        <v>51</v>
      </c>
      <c r="J555">
        <v>85</v>
      </c>
      <c r="K555">
        <v>85</v>
      </c>
      <c r="L555">
        <v>256</v>
      </c>
      <c r="O555" s="2" t="str" cm="1">
        <f t="array" ref="O55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55" s="2" t="str" cm="1">
        <f t="array" ref="P555">_xlfn.IFS(Computed_insight___Success_of_active_sellers__2[[#This Row],[rating]]&gt;=4.5, "Excellent ", Computed_insight___Success_of_active_sellers__2[[#This Row],[rating]]&gt;=4, "Good ", Computed_insight___Success_of_active_sellers__2[[#This Row],[rating]]&gt;=3.5, "Average", TRUE, "Poor ")</f>
        <v xml:space="preserve">Good </v>
      </c>
      <c r="Q555" s="2" t="str" cm="1">
        <f t="array" ref="Q55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55" s="2" t="str">
        <f>IF(Computed_insight___Success_of_active_sellers__2[[#This Row],[totalurgencycount]]&gt;0, "Has Banner", "No Banner")</f>
        <v>No Banner</v>
      </c>
    </row>
    <row r="556" spans="1:18" x14ac:dyDescent="0.3">
      <c r="A556">
        <v>554</v>
      </c>
      <c r="B556" t="s">
        <v>264</v>
      </c>
      <c r="C556">
        <v>1</v>
      </c>
      <c r="D556">
        <v>1000</v>
      </c>
      <c r="E556">
        <v>1000</v>
      </c>
      <c r="F556">
        <v>4.1429999999999998</v>
      </c>
      <c r="G556">
        <v>14442</v>
      </c>
      <c r="H556">
        <v>9</v>
      </c>
      <c r="I556">
        <v>57</v>
      </c>
      <c r="J556">
        <v>85</v>
      </c>
      <c r="K556">
        <v>85</v>
      </c>
      <c r="L556">
        <v>146</v>
      </c>
      <c r="O556" s="2" t="str" cm="1">
        <f t="array" ref="O55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56" s="2" t="str" cm="1">
        <f t="array" ref="P556">_xlfn.IFS(Computed_insight___Success_of_active_sellers__2[[#This Row],[rating]]&gt;=4.5, "Excellent ", Computed_insight___Success_of_active_sellers__2[[#This Row],[rating]]&gt;=4, "Good ", Computed_insight___Success_of_active_sellers__2[[#This Row],[rating]]&gt;=3.5, "Average", TRUE, "Poor ")</f>
        <v xml:space="preserve">Good </v>
      </c>
      <c r="Q556" s="2" t="str" cm="1">
        <f t="array" ref="Q55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56" s="2" t="str">
        <f>IF(Computed_insight___Success_of_active_sellers__2[[#This Row],[totalurgencycount]]&gt;0, "Has Banner", "No Banner")</f>
        <v>No Banner</v>
      </c>
    </row>
    <row r="557" spans="1:18" x14ac:dyDescent="0.3">
      <c r="A557">
        <v>555</v>
      </c>
      <c r="B557" t="s">
        <v>307</v>
      </c>
      <c r="C557">
        <v>1</v>
      </c>
      <c r="D557">
        <v>1000</v>
      </c>
      <c r="E557">
        <v>1000</v>
      </c>
      <c r="F557">
        <v>4.1459999999999999</v>
      </c>
      <c r="G557">
        <v>2116</v>
      </c>
      <c r="H557">
        <v>18</v>
      </c>
      <c r="I557">
        <v>16</v>
      </c>
      <c r="J557">
        <v>-12</v>
      </c>
      <c r="K557">
        <v>-12</v>
      </c>
      <c r="L557">
        <v>477</v>
      </c>
      <c r="M557">
        <v>1</v>
      </c>
      <c r="N557">
        <v>100</v>
      </c>
      <c r="O557" s="2" t="str" cm="1">
        <f t="array" ref="O55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57" s="2" t="str" cm="1">
        <f t="array" ref="P557">_xlfn.IFS(Computed_insight___Success_of_active_sellers__2[[#This Row],[rating]]&gt;=4.5, "Excellent ", Computed_insight___Success_of_active_sellers__2[[#This Row],[rating]]&gt;=4, "Good ", Computed_insight___Success_of_active_sellers__2[[#This Row],[rating]]&gt;=3.5, "Average", TRUE, "Poor ")</f>
        <v xml:space="preserve">Good </v>
      </c>
      <c r="Q557" s="2" t="str" cm="1">
        <f t="array" ref="Q55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57" s="2" t="str">
        <f>IF(Computed_insight___Success_of_active_sellers__2[[#This Row],[totalurgencycount]]&gt;0, "Has Banner", "No Banner")</f>
        <v>Has Banner</v>
      </c>
    </row>
    <row r="558" spans="1:18" x14ac:dyDescent="0.3">
      <c r="A558">
        <v>556</v>
      </c>
      <c r="B558" t="s">
        <v>178</v>
      </c>
      <c r="C558">
        <v>1</v>
      </c>
      <c r="D558">
        <v>1000</v>
      </c>
      <c r="E558">
        <v>1000</v>
      </c>
      <c r="F558">
        <v>4.1470000000000002</v>
      </c>
      <c r="G558">
        <v>9341</v>
      </c>
      <c r="H558">
        <v>22</v>
      </c>
      <c r="I558">
        <v>169</v>
      </c>
      <c r="J558">
        <v>87</v>
      </c>
      <c r="K558">
        <v>87</v>
      </c>
      <c r="L558">
        <v>542</v>
      </c>
      <c r="M558">
        <v>1</v>
      </c>
      <c r="N558">
        <v>100</v>
      </c>
      <c r="O558" s="2" t="str" cm="1">
        <f t="array" ref="O55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58" s="2" t="str" cm="1">
        <f t="array" ref="P558">_xlfn.IFS(Computed_insight___Success_of_active_sellers__2[[#This Row],[rating]]&gt;=4.5, "Excellent ", Computed_insight___Success_of_active_sellers__2[[#This Row],[rating]]&gt;=4, "Good ", Computed_insight___Success_of_active_sellers__2[[#This Row],[rating]]&gt;=3.5, "Average", TRUE, "Poor ")</f>
        <v xml:space="preserve">Good </v>
      </c>
      <c r="Q558" s="2" t="str" cm="1">
        <f t="array" ref="Q55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58" s="2" t="str">
        <f>IF(Computed_insight___Success_of_active_sellers__2[[#This Row],[totalurgencycount]]&gt;0, "Has Banner", "No Banner")</f>
        <v>Has Banner</v>
      </c>
    </row>
    <row r="559" spans="1:18" x14ac:dyDescent="0.3">
      <c r="A559">
        <v>557</v>
      </c>
      <c r="B559" t="s">
        <v>494</v>
      </c>
      <c r="C559">
        <v>1</v>
      </c>
      <c r="D559">
        <v>1000</v>
      </c>
      <c r="E559">
        <v>1000</v>
      </c>
      <c r="F559">
        <v>4.149</v>
      </c>
      <c r="G559">
        <v>114</v>
      </c>
      <c r="H559">
        <v>13</v>
      </c>
      <c r="I559">
        <v>33</v>
      </c>
      <c r="J559">
        <v>61</v>
      </c>
      <c r="K559">
        <v>61</v>
      </c>
      <c r="L559">
        <v>122</v>
      </c>
      <c r="O559" s="2" t="str" cm="1">
        <f t="array" ref="O55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59" s="2" t="str" cm="1">
        <f t="array" ref="P559">_xlfn.IFS(Computed_insight___Success_of_active_sellers__2[[#This Row],[rating]]&gt;=4.5, "Excellent ", Computed_insight___Success_of_active_sellers__2[[#This Row],[rating]]&gt;=4, "Good ", Computed_insight___Success_of_active_sellers__2[[#This Row],[rating]]&gt;=3.5, "Average", TRUE, "Poor ")</f>
        <v xml:space="preserve">Good </v>
      </c>
      <c r="Q559" s="2" t="str" cm="1">
        <f t="array" ref="Q55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59" s="2" t="str">
        <f>IF(Computed_insight___Success_of_active_sellers__2[[#This Row],[totalurgencycount]]&gt;0, "Has Banner", "No Banner")</f>
        <v>No Banner</v>
      </c>
    </row>
    <row r="560" spans="1:18" x14ac:dyDescent="0.3">
      <c r="A560">
        <v>558</v>
      </c>
      <c r="B560" t="s">
        <v>412</v>
      </c>
      <c r="C560">
        <v>1</v>
      </c>
      <c r="D560">
        <v>1000</v>
      </c>
      <c r="E560">
        <v>1000</v>
      </c>
      <c r="F560">
        <v>4.149</v>
      </c>
      <c r="G560">
        <v>6343</v>
      </c>
      <c r="H560">
        <v>11</v>
      </c>
      <c r="I560">
        <v>76</v>
      </c>
      <c r="J560">
        <v>86</v>
      </c>
      <c r="K560">
        <v>86</v>
      </c>
      <c r="L560">
        <v>364</v>
      </c>
      <c r="O560" s="2" t="str" cm="1">
        <f t="array" ref="O56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60" s="2" t="str" cm="1">
        <f t="array" ref="P560">_xlfn.IFS(Computed_insight___Success_of_active_sellers__2[[#This Row],[rating]]&gt;=4.5, "Excellent ", Computed_insight___Success_of_active_sellers__2[[#This Row],[rating]]&gt;=4, "Good ", Computed_insight___Success_of_active_sellers__2[[#This Row],[rating]]&gt;=3.5, "Average", TRUE, "Poor ")</f>
        <v xml:space="preserve">Good </v>
      </c>
      <c r="Q560" s="2" t="str" cm="1">
        <f t="array" ref="Q56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60" s="2" t="str">
        <f>IF(Computed_insight___Success_of_active_sellers__2[[#This Row],[totalurgencycount]]&gt;0, "Has Banner", "No Banner")</f>
        <v>No Banner</v>
      </c>
    </row>
    <row r="561" spans="1:18" x14ac:dyDescent="0.3">
      <c r="A561">
        <v>559</v>
      </c>
      <c r="B561" t="s">
        <v>145</v>
      </c>
      <c r="C561">
        <v>1</v>
      </c>
      <c r="D561">
        <v>1000</v>
      </c>
      <c r="E561">
        <v>1000</v>
      </c>
      <c r="F561">
        <v>4.1529999999999996</v>
      </c>
      <c r="G561">
        <v>30643</v>
      </c>
      <c r="H561">
        <v>7</v>
      </c>
      <c r="I561">
        <v>9</v>
      </c>
      <c r="J561">
        <v>23</v>
      </c>
      <c r="K561">
        <v>23</v>
      </c>
      <c r="L561">
        <v>219</v>
      </c>
      <c r="M561">
        <v>1</v>
      </c>
      <c r="N561">
        <v>100</v>
      </c>
      <c r="O561" s="2" t="str" cm="1">
        <f t="array" ref="O56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61" s="2" t="str" cm="1">
        <f t="array" ref="P561">_xlfn.IFS(Computed_insight___Success_of_active_sellers__2[[#This Row],[rating]]&gt;=4.5, "Excellent ", Computed_insight___Success_of_active_sellers__2[[#This Row],[rating]]&gt;=4, "Good ", Computed_insight___Success_of_active_sellers__2[[#This Row],[rating]]&gt;=3.5, "Average", TRUE, "Poor ")</f>
        <v xml:space="preserve">Good </v>
      </c>
      <c r="Q561" s="2" t="str" cm="1">
        <f t="array" ref="Q561">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561" s="2" t="str">
        <f>IF(Computed_insight___Success_of_active_sellers__2[[#This Row],[totalurgencycount]]&gt;0, "Has Banner", "No Banner")</f>
        <v>Has Banner</v>
      </c>
    </row>
    <row r="562" spans="1:18" x14ac:dyDescent="0.3">
      <c r="A562">
        <v>560</v>
      </c>
      <c r="B562" t="s">
        <v>583</v>
      </c>
      <c r="C562">
        <v>1</v>
      </c>
      <c r="D562">
        <v>1000</v>
      </c>
      <c r="E562">
        <v>1000</v>
      </c>
      <c r="F562">
        <v>4.1550000000000002</v>
      </c>
      <c r="G562">
        <v>5914</v>
      </c>
      <c r="H562">
        <v>6</v>
      </c>
      <c r="I562">
        <v>6</v>
      </c>
      <c r="J562">
        <v>0</v>
      </c>
      <c r="K562">
        <v>0</v>
      </c>
      <c r="L562">
        <v>362</v>
      </c>
      <c r="M562">
        <v>1</v>
      </c>
      <c r="N562">
        <v>100</v>
      </c>
      <c r="O562" s="2" t="str" cm="1">
        <f t="array" ref="O56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62" s="2" t="str" cm="1">
        <f t="array" ref="P562">_xlfn.IFS(Computed_insight___Success_of_active_sellers__2[[#This Row],[rating]]&gt;=4.5, "Excellent ", Computed_insight___Success_of_active_sellers__2[[#This Row],[rating]]&gt;=4, "Good ", Computed_insight___Success_of_active_sellers__2[[#This Row],[rating]]&gt;=3.5, "Average", TRUE, "Poor ")</f>
        <v xml:space="preserve">Good </v>
      </c>
      <c r="Q562" s="2" t="str" cm="1">
        <f t="array" ref="Q56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62" s="2" t="str">
        <f>IF(Computed_insight___Success_of_active_sellers__2[[#This Row],[totalurgencycount]]&gt;0, "Has Banner", "No Banner")</f>
        <v>Has Banner</v>
      </c>
    </row>
    <row r="563" spans="1:18" x14ac:dyDescent="0.3">
      <c r="A563">
        <v>561</v>
      </c>
      <c r="B563" t="s">
        <v>202</v>
      </c>
      <c r="C563">
        <v>1</v>
      </c>
      <c r="D563">
        <v>1000</v>
      </c>
      <c r="E563">
        <v>1000</v>
      </c>
      <c r="F563">
        <v>4.1580000000000004</v>
      </c>
      <c r="G563">
        <v>2610</v>
      </c>
      <c r="H563">
        <v>5</v>
      </c>
      <c r="I563">
        <v>5</v>
      </c>
      <c r="J563">
        <v>0</v>
      </c>
      <c r="K563">
        <v>0</v>
      </c>
      <c r="L563">
        <v>197</v>
      </c>
      <c r="O563" s="2" t="str" cm="1">
        <f t="array" ref="O56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63" s="2" t="str" cm="1">
        <f t="array" ref="P563">_xlfn.IFS(Computed_insight___Success_of_active_sellers__2[[#This Row],[rating]]&gt;=4.5, "Excellent ", Computed_insight___Success_of_active_sellers__2[[#This Row],[rating]]&gt;=4, "Good ", Computed_insight___Success_of_active_sellers__2[[#This Row],[rating]]&gt;=3.5, "Average", TRUE, "Poor ")</f>
        <v xml:space="preserve">Good </v>
      </c>
      <c r="Q563" s="2" t="str" cm="1">
        <f t="array" ref="Q56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63" s="2" t="str">
        <f>IF(Computed_insight___Success_of_active_sellers__2[[#This Row],[totalurgencycount]]&gt;0, "Has Banner", "No Banner")</f>
        <v>No Banner</v>
      </c>
    </row>
    <row r="564" spans="1:18" x14ac:dyDescent="0.3">
      <c r="A564">
        <v>562</v>
      </c>
      <c r="B564" t="s">
        <v>179</v>
      </c>
      <c r="C564">
        <v>1</v>
      </c>
      <c r="D564">
        <v>1000</v>
      </c>
      <c r="E564">
        <v>1000</v>
      </c>
      <c r="F564">
        <v>4.16</v>
      </c>
      <c r="G564">
        <v>5048</v>
      </c>
      <c r="H564">
        <v>19</v>
      </c>
      <c r="I564">
        <v>26</v>
      </c>
      <c r="J564">
        <v>27</v>
      </c>
      <c r="K564">
        <v>27</v>
      </c>
      <c r="L564">
        <v>205</v>
      </c>
      <c r="O564" s="2" t="str" cm="1">
        <f t="array" ref="O56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64" s="2" t="str" cm="1">
        <f t="array" ref="P564">_xlfn.IFS(Computed_insight___Success_of_active_sellers__2[[#This Row],[rating]]&gt;=4.5, "Excellent ", Computed_insight___Success_of_active_sellers__2[[#This Row],[rating]]&gt;=4, "Good ", Computed_insight___Success_of_active_sellers__2[[#This Row],[rating]]&gt;=3.5, "Average", TRUE, "Poor ")</f>
        <v xml:space="preserve">Good </v>
      </c>
      <c r="Q564" s="2" t="str" cm="1">
        <f t="array" ref="Q564">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564" s="2" t="str">
        <f>IF(Computed_insight___Success_of_active_sellers__2[[#This Row],[totalurgencycount]]&gt;0, "Has Banner", "No Banner")</f>
        <v>No Banner</v>
      </c>
    </row>
    <row r="565" spans="1:18" x14ac:dyDescent="0.3">
      <c r="A565">
        <v>563</v>
      </c>
      <c r="B565" t="s">
        <v>201</v>
      </c>
      <c r="C565">
        <v>1</v>
      </c>
      <c r="D565">
        <v>1000</v>
      </c>
      <c r="E565">
        <v>1000</v>
      </c>
      <c r="F565">
        <v>4.16</v>
      </c>
      <c r="G565">
        <v>29044</v>
      </c>
      <c r="H565">
        <v>15</v>
      </c>
      <c r="I565">
        <v>101</v>
      </c>
      <c r="J565">
        <v>86</v>
      </c>
      <c r="K565">
        <v>86</v>
      </c>
      <c r="L565">
        <v>646</v>
      </c>
      <c r="O565" s="2" t="str" cm="1">
        <f t="array" ref="O56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65" s="2" t="str" cm="1">
        <f t="array" ref="P565">_xlfn.IFS(Computed_insight___Success_of_active_sellers__2[[#This Row],[rating]]&gt;=4.5, "Excellent ", Computed_insight___Success_of_active_sellers__2[[#This Row],[rating]]&gt;=4, "Good ", Computed_insight___Success_of_active_sellers__2[[#This Row],[rating]]&gt;=3.5, "Average", TRUE, "Poor ")</f>
        <v xml:space="preserve">Good </v>
      </c>
      <c r="Q565" s="2" t="str" cm="1">
        <f t="array" ref="Q56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65" s="2" t="str">
        <f>IF(Computed_insight___Success_of_active_sellers__2[[#This Row],[totalurgencycount]]&gt;0, "Has Banner", "No Banner")</f>
        <v>No Banner</v>
      </c>
    </row>
    <row r="566" spans="1:18" x14ac:dyDescent="0.3">
      <c r="A566">
        <v>564</v>
      </c>
      <c r="B566" t="s">
        <v>792</v>
      </c>
      <c r="C566">
        <v>1</v>
      </c>
      <c r="D566">
        <v>1000</v>
      </c>
      <c r="E566">
        <v>1000</v>
      </c>
      <c r="F566">
        <v>4.1609999999999996</v>
      </c>
      <c r="G566">
        <v>1837</v>
      </c>
      <c r="H566">
        <v>12</v>
      </c>
      <c r="I566">
        <v>17</v>
      </c>
      <c r="J566">
        <v>30</v>
      </c>
      <c r="K566">
        <v>30</v>
      </c>
      <c r="L566">
        <v>230</v>
      </c>
      <c r="O566" s="2" t="str" cm="1">
        <f t="array" ref="O56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66" s="2" t="str" cm="1">
        <f t="array" ref="P566">_xlfn.IFS(Computed_insight___Success_of_active_sellers__2[[#This Row],[rating]]&gt;=4.5, "Excellent ", Computed_insight___Success_of_active_sellers__2[[#This Row],[rating]]&gt;=4, "Good ", Computed_insight___Success_of_active_sellers__2[[#This Row],[rating]]&gt;=3.5, "Average", TRUE, "Poor ")</f>
        <v xml:space="preserve">Good </v>
      </c>
      <c r="Q566" s="2" t="str" cm="1">
        <f t="array" ref="Q566">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566" s="2" t="str">
        <f>IF(Computed_insight___Success_of_active_sellers__2[[#This Row],[totalurgencycount]]&gt;0, "Has Banner", "No Banner")</f>
        <v>No Banner</v>
      </c>
    </row>
    <row r="567" spans="1:18" x14ac:dyDescent="0.3">
      <c r="A567">
        <v>565</v>
      </c>
      <c r="B567" t="s">
        <v>948</v>
      </c>
      <c r="C567">
        <v>1</v>
      </c>
      <c r="D567">
        <v>1000</v>
      </c>
      <c r="E567">
        <v>1000</v>
      </c>
      <c r="F567">
        <v>4.165</v>
      </c>
      <c r="G567">
        <v>32715</v>
      </c>
      <c r="H567">
        <v>11</v>
      </c>
      <c r="I567">
        <v>10</v>
      </c>
      <c r="J567">
        <v>-10</v>
      </c>
      <c r="K567">
        <v>-10</v>
      </c>
      <c r="L567">
        <v>101</v>
      </c>
      <c r="O567" s="2" t="str" cm="1">
        <f t="array" ref="O56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67" s="2" t="str" cm="1">
        <f t="array" ref="P567">_xlfn.IFS(Computed_insight___Success_of_active_sellers__2[[#This Row],[rating]]&gt;=4.5, "Excellent ", Computed_insight___Success_of_active_sellers__2[[#This Row],[rating]]&gt;=4, "Good ", Computed_insight___Success_of_active_sellers__2[[#This Row],[rating]]&gt;=3.5, "Average", TRUE, "Poor ")</f>
        <v xml:space="preserve">Good </v>
      </c>
      <c r="Q567" s="2" t="str" cm="1">
        <f t="array" ref="Q56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67" s="2" t="str">
        <f>IF(Computed_insight___Success_of_active_sellers__2[[#This Row],[totalurgencycount]]&gt;0, "Has Banner", "No Banner")</f>
        <v>No Banner</v>
      </c>
    </row>
    <row r="568" spans="1:18" x14ac:dyDescent="0.3">
      <c r="A568">
        <v>566</v>
      </c>
      <c r="B568" t="s">
        <v>841</v>
      </c>
      <c r="C568">
        <v>1</v>
      </c>
      <c r="D568">
        <v>1000</v>
      </c>
      <c r="E568">
        <v>1000</v>
      </c>
      <c r="F568">
        <v>4.1660000000000004</v>
      </c>
      <c r="G568">
        <v>8043</v>
      </c>
      <c r="H568">
        <v>9</v>
      </c>
      <c r="I568">
        <v>31</v>
      </c>
      <c r="J568">
        <v>71</v>
      </c>
      <c r="K568">
        <v>71</v>
      </c>
      <c r="L568">
        <v>317</v>
      </c>
      <c r="O568" s="2" t="str" cm="1">
        <f t="array" ref="O56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68" s="2" t="str" cm="1">
        <f t="array" ref="P568">_xlfn.IFS(Computed_insight___Success_of_active_sellers__2[[#This Row],[rating]]&gt;=4.5, "Excellent ", Computed_insight___Success_of_active_sellers__2[[#This Row],[rating]]&gt;=4, "Good ", Computed_insight___Success_of_active_sellers__2[[#This Row],[rating]]&gt;=3.5, "Average", TRUE, "Poor ")</f>
        <v xml:space="preserve">Good </v>
      </c>
      <c r="Q568" s="2" t="str" cm="1">
        <f t="array" ref="Q56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68" s="2" t="str">
        <f>IF(Computed_insight___Success_of_active_sellers__2[[#This Row],[totalurgencycount]]&gt;0, "Has Banner", "No Banner")</f>
        <v>No Banner</v>
      </c>
    </row>
    <row r="569" spans="1:18" x14ac:dyDescent="0.3">
      <c r="A569">
        <v>567</v>
      </c>
      <c r="B569" t="s">
        <v>611</v>
      </c>
      <c r="C569">
        <v>1</v>
      </c>
      <c r="D569">
        <v>1000</v>
      </c>
      <c r="E569">
        <v>1000</v>
      </c>
      <c r="F569">
        <v>4.1710000000000003</v>
      </c>
      <c r="G569">
        <v>3218</v>
      </c>
      <c r="H569">
        <v>6</v>
      </c>
      <c r="I569">
        <v>8</v>
      </c>
      <c r="J569">
        <v>25</v>
      </c>
      <c r="K569">
        <v>25</v>
      </c>
      <c r="L569">
        <v>523</v>
      </c>
      <c r="M569">
        <v>1</v>
      </c>
      <c r="N569">
        <v>100</v>
      </c>
      <c r="O569" s="2" t="str" cm="1">
        <f t="array" ref="O56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69" s="2" t="str" cm="1">
        <f t="array" ref="P569">_xlfn.IFS(Computed_insight___Success_of_active_sellers__2[[#This Row],[rating]]&gt;=4.5, "Excellent ", Computed_insight___Success_of_active_sellers__2[[#This Row],[rating]]&gt;=4, "Good ", Computed_insight___Success_of_active_sellers__2[[#This Row],[rating]]&gt;=3.5, "Average", TRUE, "Poor ")</f>
        <v xml:space="preserve">Good </v>
      </c>
      <c r="Q569" s="2" t="str" cm="1">
        <f t="array" ref="Q569">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569" s="2" t="str">
        <f>IF(Computed_insight___Success_of_active_sellers__2[[#This Row],[totalurgencycount]]&gt;0, "Has Banner", "No Banner")</f>
        <v>Has Banner</v>
      </c>
    </row>
    <row r="570" spans="1:18" x14ac:dyDescent="0.3">
      <c r="A570">
        <v>568</v>
      </c>
      <c r="B570" t="s">
        <v>839</v>
      </c>
      <c r="C570">
        <v>1</v>
      </c>
      <c r="D570">
        <v>1000</v>
      </c>
      <c r="E570">
        <v>1000</v>
      </c>
      <c r="F570">
        <v>4.1740000000000004</v>
      </c>
      <c r="G570">
        <v>17856</v>
      </c>
      <c r="H570">
        <v>14</v>
      </c>
      <c r="I570">
        <v>102</v>
      </c>
      <c r="J570">
        <v>87</v>
      </c>
      <c r="K570">
        <v>87</v>
      </c>
      <c r="L570">
        <v>197</v>
      </c>
      <c r="O570" s="2" t="str" cm="1">
        <f t="array" ref="O57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70" s="2" t="str" cm="1">
        <f t="array" ref="P570">_xlfn.IFS(Computed_insight___Success_of_active_sellers__2[[#This Row],[rating]]&gt;=4.5, "Excellent ", Computed_insight___Success_of_active_sellers__2[[#This Row],[rating]]&gt;=4, "Good ", Computed_insight___Success_of_active_sellers__2[[#This Row],[rating]]&gt;=3.5, "Average", TRUE, "Poor ")</f>
        <v xml:space="preserve">Good </v>
      </c>
      <c r="Q570" s="2" t="str" cm="1">
        <f t="array" ref="Q57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70" s="2" t="str">
        <f>IF(Computed_insight___Success_of_active_sellers__2[[#This Row],[totalurgencycount]]&gt;0, "Has Banner", "No Banner")</f>
        <v>No Banner</v>
      </c>
    </row>
    <row r="571" spans="1:18" x14ac:dyDescent="0.3">
      <c r="A571">
        <v>569</v>
      </c>
      <c r="B571" t="s">
        <v>921</v>
      </c>
      <c r="C571">
        <v>1</v>
      </c>
      <c r="D571">
        <v>1000</v>
      </c>
      <c r="E571">
        <v>1000</v>
      </c>
      <c r="F571">
        <v>4.1790000000000003</v>
      </c>
      <c r="G571">
        <v>37375</v>
      </c>
      <c r="H571">
        <v>2.72</v>
      </c>
      <c r="I571">
        <v>17</v>
      </c>
      <c r="J571">
        <v>85</v>
      </c>
      <c r="K571">
        <v>85</v>
      </c>
      <c r="L571">
        <v>116</v>
      </c>
      <c r="O571" s="2" t="str" cm="1">
        <f t="array" ref="O57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71" s="2" t="str" cm="1">
        <f t="array" ref="P571">_xlfn.IFS(Computed_insight___Success_of_active_sellers__2[[#This Row],[rating]]&gt;=4.5, "Excellent ", Computed_insight___Success_of_active_sellers__2[[#This Row],[rating]]&gt;=4, "Good ", Computed_insight___Success_of_active_sellers__2[[#This Row],[rating]]&gt;=3.5, "Average", TRUE, "Poor ")</f>
        <v xml:space="preserve">Good </v>
      </c>
      <c r="Q571" s="2" t="str" cm="1">
        <f t="array" ref="Q57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71" s="2" t="str">
        <f>IF(Computed_insight___Success_of_active_sellers__2[[#This Row],[totalurgencycount]]&gt;0, "Has Banner", "No Banner")</f>
        <v>No Banner</v>
      </c>
    </row>
    <row r="572" spans="1:18" x14ac:dyDescent="0.3">
      <c r="A572">
        <v>570</v>
      </c>
      <c r="B572" t="s">
        <v>880</v>
      </c>
      <c r="C572">
        <v>1</v>
      </c>
      <c r="D572">
        <v>1000</v>
      </c>
      <c r="E572">
        <v>1000</v>
      </c>
      <c r="F572">
        <v>4.181</v>
      </c>
      <c r="G572">
        <v>4778</v>
      </c>
      <c r="H572">
        <v>17</v>
      </c>
      <c r="I572">
        <v>75</v>
      </c>
      <c r="J572">
        <v>78</v>
      </c>
      <c r="K572">
        <v>78</v>
      </c>
      <c r="L572">
        <v>479</v>
      </c>
      <c r="O572" s="2" t="str" cm="1">
        <f t="array" ref="O57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72" s="2" t="str" cm="1">
        <f t="array" ref="P572">_xlfn.IFS(Computed_insight___Success_of_active_sellers__2[[#This Row],[rating]]&gt;=4.5, "Excellent ", Computed_insight___Success_of_active_sellers__2[[#This Row],[rating]]&gt;=4, "Good ", Computed_insight___Success_of_active_sellers__2[[#This Row],[rating]]&gt;=3.5, "Average", TRUE, "Poor ")</f>
        <v xml:space="preserve">Good </v>
      </c>
      <c r="Q572" s="2" t="str" cm="1">
        <f t="array" ref="Q57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72" s="2" t="str">
        <f>IF(Computed_insight___Success_of_active_sellers__2[[#This Row],[totalurgencycount]]&gt;0, "Has Banner", "No Banner")</f>
        <v>No Banner</v>
      </c>
    </row>
    <row r="573" spans="1:18" x14ac:dyDescent="0.3">
      <c r="A573">
        <v>571</v>
      </c>
      <c r="B573" t="s">
        <v>736</v>
      </c>
      <c r="C573">
        <v>1</v>
      </c>
      <c r="D573">
        <v>1000</v>
      </c>
      <c r="E573">
        <v>1000</v>
      </c>
      <c r="F573">
        <v>4.181</v>
      </c>
      <c r="G573">
        <v>816</v>
      </c>
      <c r="H573">
        <v>8</v>
      </c>
      <c r="I573">
        <v>7</v>
      </c>
      <c r="J573">
        <v>-14</v>
      </c>
      <c r="K573">
        <v>-14</v>
      </c>
      <c r="L573">
        <v>398</v>
      </c>
      <c r="O573" s="2" t="str" cm="1">
        <f t="array" ref="O57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73" s="2" t="str" cm="1">
        <f t="array" ref="P573">_xlfn.IFS(Computed_insight___Success_of_active_sellers__2[[#This Row],[rating]]&gt;=4.5, "Excellent ", Computed_insight___Success_of_active_sellers__2[[#This Row],[rating]]&gt;=4, "Good ", Computed_insight___Success_of_active_sellers__2[[#This Row],[rating]]&gt;=3.5, "Average", TRUE, "Poor ")</f>
        <v xml:space="preserve">Good </v>
      </c>
      <c r="Q573" s="2" t="str" cm="1">
        <f t="array" ref="Q57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73" s="2" t="str">
        <f>IF(Computed_insight___Success_of_active_sellers__2[[#This Row],[totalurgencycount]]&gt;0, "Has Banner", "No Banner")</f>
        <v>No Banner</v>
      </c>
    </row>
    <row r="574" spans="1:18" x14ac:dyDescent="0.3">
      <c r="A574">
        <v>572</v>
      </c>
      <c r="B574" t="s">
        <v>726</v>
      </c>
      <c r="C574">
        <v>1</v>
      </c>
      <c r="D574">
        <v>1000</v>
      </c>
      <c r="E574">
        <v>1000</v>
      </c>
      <c r="F574">
        <v>4.1909999999999998</v>
      </c>
      <c r="G574">
        <v>9034</v>
      </c>
      <c r="H574">
        <v>8</v>
      </c>
      <c r="I574">
        <v>22</v>
      </c>
      <c r="J574">
        <v>64</v>
      </c>
      <c r="K574">
        <v>64</v>
      </c>
      <c r="L574">
        <v>638</v>
      </c>
      <c r="M574">
        <v>1</v>
      </c>
      <c r="N574">
        <v>100</v>
      </c>
      <c r="O574" s="2" t="str" cm="1">
        <f t="array" ref="O57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74" s="2" t="str" cm="1">
        <f t="array" ref="P574">_xlfn.IFS(Computed_insight___Success_of_active_sellers__2[[#This Row],[rating]]&gt;=4.5, "Excellent ", Computed_insight___Success_of_active_sellers__2[[#This Row],[rating]]&gt;=4, "Good ", Computed_insight___Success_of_active_sellers__2[[#This Row],[rating]]&gt;=3.5, "Average", TRUE, "Poor ")</f>
        <v xml:space="preserve">Good </v>
      </c>
      <c r="Q574" s="2" t="str" cm="1">
        <f t="array" ref="Q57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74" s="2" t="str">
        <f>IF(Computed_insight___Success_of_active_sellers__2[[#This Row],[totalurgencycount]]&gt;0, "Has Banner", "No Banner")</f>
        <v>Has Banner</v>
      </c>
    </row>
    <row r="575" spans="1:18" x14ac:dyDescent="0.3">
      <c r="A575">
        <v>573</v>
      </c>
      <c r="B575" t="s">
        <v>613</v>
      </c>
      <c r="C575">
        <v>1</v>
      </c>
      <c r="D575">
        <v>1000</v>
      </c>
      <c r="E575">
        <v>1000</v>
      </c>
      <c r="F575">
        <v>4.1929999999999996</v>
      </c>
      <c r="G575">
        <v>14974</v>
      </c>
      <c r="H575">
        <v>8</v>
      </c>
      <c r="I575">
        <v>9</v>
      </c>
      <c r="J575">
        <v>12</v>
      </c>
      <c r="K575">
        <v>12</v>
      </c>
      <c r="L575">
        <v>621</v>
      </c>
      <c r="O575" s="2" t="str" cm="1">
        <f t="array" ref="O57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75" s="2" t="str" cm="1">
        <f t="array" ref="P575">_xlfn.IFS(Computed_insight___Success_of_active_sellers__2[[#This Row],[rating]]&gt;=4.5, "Excellent ", Computed_insight___Success_of_active_sellers__2[[#This Row],[rating]]&gt;=4, "Good ", Computed_insight___Success_of_active_sellers__2[[#This Row],[rating]]&gt;=3.5, "Average", TRUE, "Poor ")</f>
        <v xml:space="preserve">Good </v>
      </c>
      <c r="Q575" s="2" t="str" cm="1">
        <f t="array" ref="Q575">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575" s="2" t="str">
        <f>IF(Computed_insight___Success_of_active_sellers__2[[#This Row],[totalurgencycount]]&gt;0, "Has Banner", "No Banner")</f>
        <v>No Banner</v>
      </c>
    </row>
    <row r="576" spans="1:18" x14ac:dyDescent="0.3">
      <c r="A576">
        <v>574</v>
      </c>
      <c r="B576" t="s">
        <v>892</v>
      </c>
      <c r="C576">
        <v>1</v>
      </c>
      <c r="D576">
        <v>1000</v>
      </c>
      <c r="E576">
        <v>1000</v>
      </c>
      <c r="F576">
        <v>4.1980000000000004</v>
      </c>
      <c r="G576">
        <v>2510</v>
      </c>
      <c r="H576">
        <v>6</v>
      </c>
      <c r="I576">
        <v>6</v>
      </c>
      <c r="J576">
        <v>0</v>
      </c>
      <c r="K576">
        <v>0</v>
      </c>
      <c r="L576">
        <v>170</v>
      </c>
      <c r="O576" s="2" t="str" cm="1">
        <f t="array" ref="O57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76" s="2" t="str" cm="1">
        <f t="array" ref="P576">_xlfn.IFS(Computed_insight___Success_of_active_sellers__2[[#This Row],[rating]]&gt;=4.5, "Excellent ", Computed_insight___Success_of_active_sellers__2[[#This Row],[rating]]&gt;=4, "Good ", Computed_insight___Success_of_active_sellers__2[[#This Row],[rating]]&gt;=3.5, "Average", TRUE, "Poor ")</f>
        <v xml:space="preserve">Good </v>
      </c>
      <c r="Q576" s="2" t="str" cm="1">
        <f t="array" ref="Q57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76" s="2" t="str">
        <f>IF(Computed_insight___Success_of_active_sellers__2[[#This Row],[totalurgencycount]]&gt;0, "Has Banner", "No Banner")</f>
        <v>No Banner</v>
      </c>
    </row>
    <row r="577" spans="1:18" x14ac:dyDescent="0.3">
      <c r="A577">
        <v>575</v>
      </c>
      <c r="B577" t="s">
        <v>702</v>
      </c>
      <c r="C577">
        <v>1</v>
      </c>
      <c r="D577">
        <v>1000</v>
      </c>
      <c r="E577">
        <v>1000</v>
      </c>
      <c r="F577">
        <v>4.2039999999999997</v>
      </c>
      <c r="G577">
        <v>941</v>
      </c>
      <c r="H577">
        <v>7</v>
      </c>
      <c r="I577">
        <v>6</v>
      </c>
      <c r="J577">
        <v>-16</v>
      </c>
      <c r="K577">
        <v>-16</v>
      </c>
      <c r="L577">
        <v>129</v>
      </c>
      <c r="M577">
        <v>1</v>
      </c>
      <c r="N577">
        <v>100</v>
      </c>
      <c r="O577" s="2" t="str" cm="1">
        <f t="array" ref="O57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77" s="2" t="str" cm="1">
        <f t="array" ref="P577">_xlfn.IFS(Computed_insight___Success_of_active_sellers__2[[#This Row],[rating]]&gt;=4.5, "Excellent ", Computed_insight___Success_of_active_sellers__2[[#This Row],[rating]]&gt;=4, "Good ", Computed_insight___Success_of_active_sellers__2[[#This Row],[rating]]&gt;=3.5, "Average", TRUE, "Poor ")</f>
        <v xml:space="preserve">Good </v>
      </c>
      <c r="Q577" s="2" t="str" cm="1">
        <f t="array" ref="Q57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77" s="2" t="str">
        <f>IF(Computed_insight___Success_of_active_sellers__2[[#This Row],[totalurgencycount]]&gt;0, "Has Banner", "No Banner")</f>
        <v>Has Banner</v>
      </c>
    </row>
    <row r="578" spans="1:18" x14ac:dyDescent="0.3">
      <c r="A578">
        <v>576</v>
      </c>
      <c r="B578" t="s">
        <v>470</v>
      </c>
      <c r="C578">
        <v>1</v>
      </c>
      <c r="D578">
        <v>1000</v>
      </c>
      <c r="E578">
        <v>1000</v>
      </c>
      <c r="F578">
        <v>4.2089999999999996</v>
      </c>
      <c r="G578">
        <v>2212</v>
      </c>
      <c r="H578">
        <v>8</v>
      </c>
      <c r="I578">
        <v>30</v>
      </c>
      <c r="J578">
        <v>74</v>
      </c>
      <c r="K578">
        <v>74</v>
      </c>
      <c r="L578">
        <v>270</v>
      </c>
      <c r="M578">
        <v>1</v>
      </c>
      <c r="N578">
        <v>100</v>
      </c>
      <c r="O578" s="2" t="str" cm="1">
        <f t="array" ref="O57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78" s="2" t="str" cm="1">
        <f t="array" ref="P578">_xlfn.IFS(Computed_insight___Success_of_active_sellers__2[[#This Row],[rating]]&gt;=4.5, "Excellent ", Computed_insight___Success_of_active_sellers__2[[#This Row],[rating]]&gt;=4, "Good ", Computed_insight___Success_of_active_sellers__2[[#This Row],[rating]]&gt;=3.5, "Average", TRUE, "Poor ")</f>
        <v xml:space="preserve">Good </v>
      </c>
      <c r="Q578" s="2" t="str" cm="1">
        <f t="array" ref="Q57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78" s="2" t="str">
        <f>IF(Computed_insight___Success_of_active_sellers__2[[#This Row],[totalurgencycount]]&gt;0, "Has Banner", "No Banner")</f>
        <v>Has Banner</v>
      </c>
    </row>
    <row r="579" spans="1:18" x14ac:dyDescent="0.3">
      <c r="A579">
        <v>577</v>
      </c>
      <c r="B579" t="s">
        <v>832</v>
      </c>
      <c r="C579">
        <v>1</v>
      </c>
      <c r="D579">
        <v>1000</v>
      </c>
      <c r="E579">
        <v>1000</v>
      </c>
      <c r="F579">
        <v>4.21</v>
      </c>
      <c r="G579">
        <v>706</v>
      </c>
      <c r="H579">
        <v>5.75</v>
      </c>
      <c r="I579">
        <v>25</v>
      </c>
      <c r="J579">
        <v>77</v>
      </c>
      <c r="K579">
        <v>77</v>
      </c>
      <c r="L579">
        <v>117</v>
      </c>
      <c r="O579" s="2" t="str" cm="1">
        <f t="array" ref="O57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79" s="2" t="str" cm="1">
        <f t="array" ref="P579">_xlfn.IFS(Computed_insight___Success_of_active_sellers__2[[#This Row],[rating]]&gt;=4.5, "Excellent ", Computed_insight___Success_of_active_sellers__2[[#This Row],[rating]]&gt;=4, "Good ", Computed_insight___Success_of_active_sellers__2[[#This Row],[rating]]&gt;=3.5, "Average", TRUE, "Poor ")</f>
        <v xml:space="preserve">Good </v>
      </c>
      <c r="Q579" s="2" t="str" cm="1">
        <f t="array" ref="Q57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79" s="2" t="str">
        <f>IF(Computed_insight___Success_of_active_sellers__2[[#This Row],[totalurgencycount]]&gt;0, "Has Banner", "No Banner")</f>
        <v>No Banner</v>
      </c>
    </row>
    <row r="580" spans="1:18" x14ac:dyDescent="0.3">
      <c r="A580">
        <v>578</v>
      </c>
      <c r="B580" t="s">
        <v>694</v>
      </c>
      <c r="C580">
        <v>1</v>
      </c>
      <c r="D580">
        <v>1000</v>
      </c>
      <c r="E580">
        <v>1000</v>
      </c>
      <c r="F580">
        <v>4.2119999999999997</v>
      </c>
      <c r="G580">
        <v>2495</v>
      </c>
      <c r="H580">
        <v>12</v>
      </c>
      <c r="I580">
        <v>102</v>
      </c>
      <c r="J580">
        <v>89</v>
      </c>
      <c r="K580">
        <v>89</v>
      </c>
      <c r="L580">
        <v>206</v>
      </c>
      <c r="O580" s="2" t="str" cm="1">
        <f t="array" ref="O58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80" s="2" t="str" cm="1">
        <f t="array" ref="P580">_xlfn.IFS(Computed_insight___Success_of_active_sellers__2[[#This Row],[rating]]&gt;=4.5, "Excellent ", Computed_insight___Success_of_active_sellers__2[[#This Row],[rating]]&gt;=4, "Good ", Computed_insight___Success_of_active_sellers__2[[#This Row],[rating]]&gt;=3.5, "Average", TRUE, "Poor ")</f>
        <v xml:space="preserve">Good </v>
      </c>
      <c r="Q580" s="2" t="str" cm="1">
        <f t="array" ref="Q58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80" s="2" t="str">
        <f>IF(Computed_insight___Success_of_active_sellers__2[[#This Row],[totalurgencycount]]&gt;0, "Has Banner", "No Banner")</f>
        <v>No Banner</v>
      </c>
    </row>
    <row r="581" spans="1:18" x14ac:dyDescent="0.3">
      <c r="A581">
        <v>579</v>
      </c>
      <c r="B581" t="s">
        <v>653</v>
      </c>
      <c r="C581">
        <v>1</v>
      </c>
      <c r="D581">
        <v>1000</v>
      </c>
      <c r="E581">
        <v>1000</v>
      </c>
      <c r="F581">
        <v>4.2130000000000001</v>
      </c>
      <c r="G581">
        <v>47639</v>
      </c>
      <c r="H581">
        <v>11</v>
      </c>
      <c r="I581">
        <v>24</v>
      </c>
      <c r="J581">
        <v>55</v>
      </c>
      <c r="K581">
        <v>55</v>
      </c>
      <c r="L581">
        <v>154</v>
      </c>
      <c r="M581">
        <v>1</v>
      </c>
      <c r="N581">
        <v>100</v>
      </c>
      <c r="O581" s="2" t="str" cm="1">
        <f t="array" ref="O58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81" s="2" t="str" cm="1">
        <f t="array" ref="P581">_xlfn.IFS(Computed_insight___Success_of_active_sellers__2[[#This Row],[rating]]&gt;=4.5, "Excellent ", Computed_insight___Success_of_active_sellers__2[[#This Row],[rating]]&gt;=4, "Good ", Computed_insight___Success_of_active_sellers__2[[#This Row],[rating]]&gt;=3.5, "Average", TRUE, "Poor ")</f>
        <v xml:space="preserve">Good </v>
      </c>
      <c r="Q581" s="2" t="str" cm="1">
        <f t="array" ref="Q58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81" s="2" t="str">
        <f>IF(Computed_insight___Success_of_active_sellers__2[[#This Row],[totalurgencycount]]&gt;0, "Has Banner", "No Banner")</f>
        <v>Has Banner</v>
      </c>
    </row>
    <row r="582" spans="1:18" x14ac:dyDescent="0.3">
      <c r="A582">
        <v>580</v>
      </c>
      <c r="B582" t="s">
        <v>58</v>
      </c>
      <c r="C582">
        <v>1</v>
      </c>
      <c r="D582">
        <v>1000</v>
      </c>
      <c r="E582">
        <v>1000</v>
      </c>
      <c r="F582">
        <v>4.2149999999999999</v>
      </c>
      <c r="G582">
        <v>11597</v>
      </c>
      <c r="H582">
        <v>11</v>
      </c>
      <c r="I582">
        <v>68</v>
      </c>
      <c r="J582">
        <v>84</v>
      </c>
      <c r="K582">
        <v>84</v>
      </c>
      <c r="L582">
        <v>211</v>
      </c>
      <c r="O582" s="2" t="str" cm="1">
        <f t="array" ref="O58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82" s="2" t="str" cm="1">
        <f t="array" ref="P582">_xlfn.IFS(Computed_insight___Success_of_active_sellers__2[[#This Row],[rating]]&gt;=4.5, "Excellent ", Computed_insight___Success_of_active_sellers__2[[#This Row],[rating]]&gt;=4, "Good ", Computed_insight___Success_of_active_sellers__2[[#This Row],[rating]]&gt;=3.5, "Average", TRUE, "Poor ")</f>
        <v xml:space="preserve">Good </v>
      </c>
      <c r="Q582" s="2" t="str" cm="1">
        <f t="array" ref="Q58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82" s="2" t="str">
        <f>IF(Computed_insight___Success_of_active_sellers__2[[#This Row],[totalurgencycount]]&gt;0, "Has Banner", "No Banner")</f>
        <v>No Banner</v>
      </c>
    </row>
    <row r="583" spans="1:18" x14ac:dyDescent="0.3">
      <c r="A583">
        <v>581</v>
      </c>
      <c r="B583" t="s">
        <v>944</v>
      </c>
      <c r="C583">
        <v>1</v>
      </c>
      <c r="D583">
        <v>1000</v>
      </c>
      <c r="E583">
        <v>1000</v>
      </c>
      <c r="F583">
        <v>4.2169999999999996</v>
      </c>
      <c r="G583">
        <v>8352</v>
      </c>
      <c r="H583">
        <v>8</v>
      </c>
      <c r="I583">
        <v>7</v>
      </c>
      <c r="J583">
        <v>-14</v>
      </c>
      <c r="K583">
        <v>-14</v>
      </c>
      <c r="L583">
        <v>558</v>
      </c>
      <c r="O583" s="2" t="str" cm="1">
        <f t="array" ref="O58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83" s="2" t="str" cm="1">
        <f t="array" ref="P583">_xlfn.IFS(Computed_insight___Success_of_active_sellers__2[[#This Row],[rating]]&gt;=4.5, "Excellent ", Computed_insight___Success_of_active_sellers__2[[#This Row],[rating]]&gt;=4, "Good ", Computed_insight___Success_of_active_sellers__2[[#This Row],[rating]]&gt;=3.5, "Average", TRUE, "Poor ")</f>
        <v xml:space="preserve">Good </v>
      </c>
      <c r="Q583" s="2" t="str" cm="1">
        <f t="array" ref="Q58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83" s="2" t="str">
        <f>IF(Computed_insight___Success_of_active_sellers__2[[#This Row],[totalurgencycount]]&gt;0, "Has Banner", "No Banner")</f>
        <v>No Banner</v>
      </c>
    </row>
    <row r="584" spans="1:18" x14ac:dyDescent="0.3">
      <c r="A584">
        <v>582</v>
      </c>
      <c r="B584" t="s">
        <v>240</v>
      </c>
      <c r="C584">
        <v>1</v>
      </c>
      <c r="D584">
        <v>1000</v>
      </c>
      <c r="E584">
        <v>1000</v>
      </c>
      <c r="F584">
        <v>4.22</v>
      </c>
      <c r="G584">
        <v>6570</v>
      </c>
      <c r="H584">
        <v>5.77</v>
      </c>
      <c r="I584">
        <v>16</v>
      </c>
      <c r="J584">
        <v>64</v>
      </c>
      <c r="K584">
        <v>64</v>
      </c>
      <c r="L584">
        <v>687</v>
      </c>
      <c r="O584" s="2" t="str" cm="1">
        <f t="array" ref="O58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84" s="2" t="str" cm="1">
        <f t="array" ref="P584">_xlfn.IFS(Computed_insight___Success_of_active_sellers__2[[#This Row],[rating]]&gt;=4.5, "Excellent ", Computed_insight___Success_of_active_sellers__2[[#This Row],[rating]]&gt;=4, "Good ", Computed_insight___Success_of_active_sellers__2[[#This Row],[rating]]&gt;=3.5, "Average", TRUE, "Poor ")</f>
        <v xml:space="preserve">Good </v>
      </c>
      <c r="Q584" s="2" t="str" cm="1">
        <f t="array" ref="Q58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84" s="2" t="str">
        <f>IF(Computed_insight___Success_of_active_sellers__2[[#This Row],[totalurgencycount]]&gt;0, "Has Banner", "No Banner")</f>
        <v>No Banner</v>
      </c>
    </row>
    <row r="585" spans="1:18" x14ac:dyDescent="0.3">
      <c r="A585">
        <v>583</v>
      </c>
      <c r="B585" t="s">
        <v>848</v>
      </c>
      <c r="C585">
        <v>1</v>
      </c>
      <c r="D585">
        <v>1000</v>
      </c>
      <c r="E585">
        <v>1000</v>
      </c>
      <c r="F585">
        <v>4.2229999999999999</v>
      </c>
      <c r="G585">
        <v>1178</v>
      </c>
      <c r="H585">
        <v>14</v>
      </c>
      <c r="I585">
        <v>12</v>
      </c>
      <c r="J585">
        <v>-16</v>
      </c>
      <c r="K585">
        <v>-16</v>
      </c>
      <c r="L585">
        <v>429</v>
      </c>
      <c r="M585">
        <v>1</v>
      </c>
      <c r="N585">
        <v>100</v>
      </c>
      <c r="O585" s="2" t="str" cm="1">
        <f t="array" ref="O58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85" s="2" t="str" cm="1">
        <f t="array" ref="P585">_xlfn.IFS(Computed_insight___Success_of_active_sellers__2[[#This Row],[rating]]&gt;=4.5, "Excellent ", Computed_insight___Success_of_active_sellers__2[[#This Row],[rating]]&gt;=4, "Good ", Computed_insight___Success_of_active_sellers__2[[#This Row],[rating]]&gt;=3.5, "Average", TRUE, "Poor ")</f>
        <v xml:space="preserve">Good </v>
      </c>
      <c r="Q585" s="2" t="str" cm="1">
        <f t="array" ref="Q58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85" s="2" t="str">
        <f>IF(Computed_insight___Success_of_active_sellers__2[[#This Row],[totalurgencycount]]&gt;0, "Has Banner", "No Banner")</f>
        <v>Has Banner</v>
      </c>
    </row>
    <row r="586" spans="1:18" x14ac:dyDescent="0.3">
      <c r="A586">
        <v>584</v>
      </c>
      <c r="B586" t="s">
        <v>895</v>
      </c>
      <c r="C586">
        <v>1</v>
      </c>
      <c r="D586">
        <v>1000</v>
      </c>
      <c r="E586">
        <v>1000</v>
      </c>
      <c r="F586">
        <v>4.2290000000000001</v>
      </c>
      <c r="G586">
        <v>3533</v>
      </c>
      <c r="H586">
        <v>15</v>
      </c>
      <c r="I586">
        <v>13</v>
      </c>
      <c r="J586">
        <v>-15</v>
      </c>
      <c r="K586">
        <v>-15</v>
      </c>
      <c r="L586">
        <v>497</v>
      </c>
      <c r="M586">
        <v>1</v>
      </c>
      <c r="N586">
        <v>100</v>
      </c>
      <c r="O586" s="2" t="str" cm="1">
        <f t="array" ref="O58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86" s="2" t="str" cm="1">
        <f t="array" ref="P586">_xlfn.IFS(Computed_insight___Success_of_active_sellers__2[[#This Row],[rating]]&gt;=4.5, "Excellent ", Computed_insight___Success_of_active_sellers__2[[#This Row],[rating]]&gt;=4, "Good ", Computed_insight___Success_of_active_sellers__2[[#This Row],[rating]]&gt;=3.5, "Average", TRUE, "Poor ")</f>
        <v xml:space="preserve">Good </v>
      </c>
      <c r="Q586" s="2" t="str" cm="1">
        <f t="array" ref="Q58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86" s="2" t="str">
        <f>IF(Computed_insight___Success_of_active_sellers__2[[#This Row],[totalurgencycount]]&gt;0, "Has Banner", "No Banner")</f>
        <v>Has Banner</v>
      </c>
    </row>
    <row r="587" spans="1:18" x14ac:dyDescent="0.3">
      <c r="A587">
        <v>585</v>
      </c>
      <c r="B587" t="s">
        <v>28</v>
      </c>
      <c r="C587">
        <v>1</v>
      </c>
      <c r="D587">
        <v>1000</v>
      </c>
      <c r="E587">
        <v>1000</v>
      </c>
      <c r="F587">
        <v>4.2290000000000001</v>
      </c>
      <c r="G587">
        <v>4298</v>
      </c>
      <c r="H587">
        <v>9</v>
      </c>
      <c r="I587">
        <v>9</v>
      </c>
      <c r="J587">
        <v>0</v>
      </c>
      <c r="K587">
        <v>0</v>
      </c>
      <c r="L587">
        <v>216</v>
      </c>
      <c r="O587" s="2" t="str" cm="1">
        <f t="array" ref="O58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87" s="2" t="str" cm="1">
        <f t="array" ref="P587">_xlfn.IFS(Computed_insight___Success_of_active_sellers__2[[#This Row],[rating]]&gt;=4.5, "Excellent ", Computed_insight___Success_of_active_sellers__2[[#This Row],[rating]]&gt;=4, "Good ", Computed_insight___Success_of_active_sellers__2[[#This Row],[rating]]&gt;=3.5, "Average", TRUE, "Poor ")</f>
        <v xml:space="preserve">Good </v>
      </c>
      <c r="Q587" s="2" t="str" cm="1">
        <f t="array" ref="Q58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87" s="2" t="str">
        <f>IF(Computed_insight___Success_of_active_sellers__2[[#This Row],[totalurgencycount]]&gt;0, "Has Banner", "No Banner")</f>
        <v>No Banner</v>
      </c>
    </row>
    <row r="588" spans="1:18" x14ac:dyDescent="0.3">
      <c r="A588">
        <v>586</v>
      </c>
      <c r="B588" t="s">
        <v>468</v>
      </c>
      <c r="C588">
        <v>1</v>
      </c>
      <c r="D588">
        <v>1000</v>
      </c>
      <c r="E588">
        <v>1000</v>
      </c>
      <c r="F588">
        <v>4.2380000000000004</v>
      </c>
      <c r="G588">
        <v>12322</v>
      </c>
      <c r="H588">
        <v>16</v>
      </c>
      <c r="I588">
        <v>26</v>
      </c>
      <c r="J588">
        <v>39</v>
      </c>
      <c r="K588">
        <v>39</v>
      </c>
      <c r="L588">
        <v>450</v>
      </c>
      <c r="O588" s="2" t="str" cm="1">
        <f t="array" ref="O58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88" s="2" t="str" cm="1">
        <f t="array" ref="P588">_xlfn.IFS(Computed_insight___Success_of_active_sellers__2[[#This Row],[rating]]&gt;=4.5, "Excellent ", Computed_insight___Success_of_active_sellers__2[[#This Row],[rating]]&gt;=4, "Good ", Computed_insight___Success_of_active_sellers__2[[#This Row],[rating]]&gt;=3.5, "Average", TRUE, "Poor ")</f>
        <v xml:space="preserve">Good </v>
      </c>
      <c r="Q588" s="2" t="str" cm="1">
        <f t="array" ref="Q588">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588" s="2" t="str">
        <f>IF(Computed_insight___Success_of_active_sellers__2[[#This Row],[totalurgencycount]]&gt;0, "Has Banner", "No Banner")</f>
        <v>No Banner</v>
      </c>
    </row>
    <row r="589" spans="1:18" x14ac:dyDescent="0.3">
      <c r="A589">
        <v>587</v>
      </c>
      <c r="B589" t="s">
        <v>864</v>
      </c>
      <c r="C589">
        <v>1</v>
      </c>
      <c r="D589">
        <v>1000</v>
      </c>
      <c r="E589">
        <v>1000</v>
      </c>
      <c r="F589">
        <v>4.2409999999999997</v>
      </c>
      <c r="G589">
        <v>15540</v>
      </c>
      <c r="H589">
        <v>12</v>
      </c>
      <c r="I589">
        <v>93</v>
      </c>
      <c r="J589">
        <v>88</v>
      </c>
      <c r="K589">
        <v>88</v>
      </c>
      <c r="L589">
        <v>534</v>
      </c>
      <c r="M589">
        <v>1</v>
      </c>
      <c r="N589">
        <v>100</v>
      </c>
      <c r="O589" s="2" t="str" cm="1">
        <f t="array" ref="O58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89" s="2" t="str" cm="1">
        <f t="array" ref="P589">_xlfn.IFS(Computed_insight___Success_of_active_sellers__2[[#This Row],[rating]]&gt;=4.5, "Excellent ", Computed_insight___Success_of_active_sellers__2[[#This Row],[rating]]&gt;=4, "Good ", Computed_insight___Success_of_active_sellers__2[[#This Row],[rating]]&gt;=3.5, "Average", TRUE, "Poor ")</f>
        <v xml:space="preserve">Good </v>
      </c>
      <c r="Q589" s="2" t="str" cm="1">
        <f t="array" ref="Q58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89" s="2" t="str">
        <f>IF(Computed_insight___Success_of_active_sellers__2[[#This Row],[totalurgencycount]]&gt;0, "Has Banner", "No Banner")</f>
        <v>Has Banner</v>
      </c>
    </row>
    <row r="590" spans="1:18" x14ac:dyDescent="0.3">
      <c r="A590">
        <v>588</v>
      </c>
      <c r="B590" t="s">
        <v>366</v>
      </c>
      <c r="C590">
        <v>1</v>
      </c>
      <c r="D590">
        <v>1000</v>
      </c>
      <c r="E590">
        <v>1000</v>
      </c>
      <c r="F590">
        <v>4.2430000000000003</v>
      </c>
      <c r="G590">
        <v>3709</v>
      </c>
      <c r="H590">
        <v>5.71</v>
      </c>
      <c r="I590">
        <v>13</v>
      </c>
      <c r="J590">
        <v>57</v>
      </c>
      <c r="K590">
        <v>57</v>
      </c>
      <c r="L590">
        <v>317</v>
      </c>
      <c r="O590" s="2" t="str" cm="1">
        <f t="array" ref="O59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90" s="2" t="str" cm="1">
        <f t="array" ref="P590">_xlfn.IFS(Computed_insight___Success_of_active_sellers__2[[#This Row],[rating]]&gt;=4.5, "Excellent ", Computed_insight___Success_of_active_sellers__2[[#This Row],[rating]]&gt;=4, "Good ", Computed_insight___Success_of_active_sellers__2[[#This Row],[rating]]&gt;=3.5, "Average", TRUE, "Poor ")</f>
        <v xml:space="preserve">Good </v>
      </c>
      <c r="Q590" s="2" t="str" cm="1">
        <f t="array" ref="Q59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90" s="2" t="str">
        <f>IF(Computed_insight___Success_of_active_sellers__2[[#This Row],[totalurgencycount]]&gt;0, "Has Banner", "No Banner")</f>
        <v>No Banner</v>
      </c>
    </row>
    <row r="591" spans="1:18" x14ac:dyDescent="0.3">
      <c r="A591">
        <v>589</v>
      </c>
      <c r="B591" t="s">
        <v>903</v>
      </c>
      <c r="C591">
        <v>1</v>
      </c>
      <c r="D591">
        <v>1000</v>
      </c>
      <c r="E591">
        <v>1000</v>
      </c>
      <c r="F591">
        <v>4.2460000000000004</v>
      </c>
      <c r="G591">
        <v>8404</v>
      </c>
      <c r="H591">
        <v>9</v>
      </c>
      <c r="I591">
        <v>84</v>
      </c>
      <c r="J591">
        <v>90</v>
      </c>
      <c r="K591">
        <v>90</v>
      </c>
      <c r="L591">
        <v>420</v>
      </c>
      <c r="M591">
        <v>1</v>
      </c>
      <c r="N591">
        <v>100</v>
      </c>
      <c r="O591" s="2" t="str" cm="1">
        <f t="array" ref="O59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91" s="2" t="str" cm="1">
        <f t="array" ref="P591">_xlfn.IFS(Computed_insight___Success_of_active_sellers__2[[#This Row],[rating]]&gt;=4.5, "Excellent ", Computed_insight___Success_of_active_sellers__2[[#This Row],[rating]]&gt;=4, "Good ", Computed_insight___Success_of_active_sellers__2[[#This Row],[rating]]&gt;=3.5, "Average", TRUE, "Poor ")</f>
        <v xml:space="preserve">Good </v>
      </c>
      <c r="Q591" s="2" t="str" cm="1">
        <f t="array" ref="Q59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91" s="2" t="str">
        <f>IF(Computed_insight___Success_of_active_sellers__2[[#This Row],[totalurgencycount]]&gt;0, "Has Banner", "No Banner")</f>
        <v>Has Banner</v>
      </c>
    </row>
    <row r="592" spans="1:18" x14ac:dyDescent="0.3">
      <c r="A592">
        <v>590</v>
      </c>
      <c r="B592" t="s">
        <v>463</v>
      </c>
      <c r="C592">
        <v>1</v>
      </c>
      <c r="D592">
        <v>1000</v>
      </c>
      <c r="E592">
        <v>1000</v>
      </c>
      <c r="F592">
        <v>4.2539999999999996</v>
      </c>
      <c r="G592">
        <v>1038</v>
      </c>
      <c r="H592">
        <v>15</v>
      </c>
      <c r="I592">
        <v>13</v>
      </c>
      <c r="J592">
        <v>-15</v>
      </c>
      <c r="K592">
        <v>-15</v>
      </c>
      <c r="L592">
        <v>277</v>
      </c>
      <c r="O592" s="2" t="str" cm="1">
        <f t="array" ref="O59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92" s="2" t="str" cm="1">
        <f t="array" ref="P592">_xlfn.IFS(Computed_insight___Success_of_active_sellers__2[[#This Row],[rating]]&gt;=4.5, "Excellent ", Computed_insight___Success_of_active_sellers__2[[#This Row],[rating]]&gt;=4, "Good ", Computed_insight___Success_of_active_sellers__2[[#This Row],[rating]]&gt;=3.5, "Average", TRUE, "Poor ")</f>
        <v xml:space="preserve">Good </v>
      </c>
      <c r="Q592" s="2" t="str" cm="1">
        <f t="array" ref="Q59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92" s="2" t="str">
        <f>IF(Computed_insight___Success_of_active_sellers__2[[#This Row],[totalurgencycount]]&gt;0, "Has Banner", "No Banner")</f>
        <v>No Banner</v>
      </c>
    </row>
    <row r="593" spans="1:18" x14ac:dyDescent="0.3">
      <c r="A593">
        <v>591</v>
      </c>
      <c r="B593" t="s">
        <v>618</v>
      </c>
      <c r="C593">
        <v>1</v>
      </c>
      <c r="D593">
        <v>1000</v>
      </c>
      <c r="E593">
        <v>1000</v>
      </c>
      <c r="F593">
        <v>4.2539999999999996</v>
      </c>
      <c r="G593">
        <v>6033</v>
      </c>
      <c r="H593">
        <v>16</v>
      </c>
      <c r="I593">
        <v>14</v>
      </c>
      <c r="J593">
        <v>-14</v>
      </c>
      <c r="K593">
        <v>-14</v>
      </c>
      <c r="L593">
        <v>552</v>
      </c>
      <c r="O593" s="2" t="str" cm="1">
        <f t="array" ref="O59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93" s="2" t="str" cm="1">
        <f t="array" ref="P593">_xlfn.IFS(Computed_insight___Success_of_active_sellers__2[[#This Row],[rating]]&gt;=4.5, "Excellent ", Computed_insight___Success_of_active_sellers__2[[#This Row],[rating]]&gt;=4, "Good ", Computed_insight___Success_of_active_sellers__2[[#This Row],[rating]]&gt;=3.5, "Average", TRUE, "Poor ")</f>
        <v xml:space="preserve">Good </v>
      </c>
      <c r="Q593" s="2" t="str" cm="1">
        <f t="array" ref="Q59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93" s="2" t="str">
        <f>IF(Computed_insight___Success_of_active_sellers__2[[#This Row],[totalurgencycount]]&gt;0, "Has Banner", "No Banner")</f>
        <v>No Banner</v>
      </c>
    </row>
    <row r="594" spans="1:18" x14ac:dyDescent="0.3">
      <c r="A594">
        <v>592</v>
      </c>
      <c r="B594" t="s">
        <v>852</v>
      </c>
      <c r="C594">
        <v>1</v>
      </c>
      <c r="D594">
        <v>1000</v>
      </c>
      <c r="E594">
        <v>1000</v>
      </c>
      <c r="F594">
        <v>4.2569999999999997</v>
      </c>
      <c r="G594">
        <v>25752</v>
      </c>
      <c r="H594">
        <v>8</v>
      </c>
      <c r="I594">
        <v>7</v>
      </c>
      <c r="J594">
        <v>-14</v>
      </c>
      <c r="K594">
        <v>-14</v>
      </c>
      <c r="L594">
        <v>843</v>
      </c>
      <c r="O594" s="2" t="str" cm="1">
        <f t="array" ref="O59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94" s="2" t="str" cm="1">
        <f t="array" ref="P594">_xlfn.IFS(Computed_insight___Success_of_active_sellers__2[[#This Row],[rating]]&gt;=4.5, "Excellent ", Computed_insight___Success_of_active_sellers__2[[#This Row],[rating]]&gt;=4, "Good ", Computed_insight___Success_of_active_sellers__2[[#This Row],[rating]]&gt;=3.5, "Average", TRUE, "Poor ")</f>
        <v xml:space="preserve">Good </v>
      </c>
      <c r="Q594" s="2" t="str" cm="1">
        <f t="array" ref="Q59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94" s="2" t="str">
        <f>IF(Computed_insight___Success_of_active_sellers__2[[#This Row],[totalurgencycount]]&gt;0, "Has Banner", "No Banner")</f>
        <v>No Banner</v>
      </c>
    </row>
    <row r="595" spans="1:18" x14ac:dyDescent="0.3">
      <c r="A595">
        <v>593</v>
      </c>
      <c r="B595" t="s">
        <v>943</v>
      </c>
      <c r="C595">
        <v>1</v>
      </c>
      <c r="D595">
        <v>1000</v>
      </c>
      <c r="E595">
        <v>1000</v>
      </c>
      <c r="F595">
        <v>4.26</v>
      </c>
      <c r="G595">
        <v>2992</v>
      </c>
      <c r="H595">
        <v>8</v>
      </c>
      <c r="I595">
        <v>11</v>
      </c>
      <c r="J595">
        <v>28</v>
      </c>
      <c r="K595">
        <v>28</v>
      </c>
      <c r="L595">
        <v>153</v>
      </c>
      <c r="M595">
        <v>1</v>
      </c>
      <c r="N595">
        <v>100</v>
      </c>
      <c r="O595" s="2" t="str" cm="1">
        <f t="array" ref="O59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95" s="2" t="str" cm="1">
        <f t="array" ref="P595">_xlfn.IFS(Computed_insight___Success_of_active_sellers__2[[#This Row],[rating]]&gt;=4.5, "Excellent ", Computed_insight___Success_of_active_sellers__2[[#This Row],[rating]]&gt;=4, "Good ", Computed_insight___Success_of_active_sellers__2[[#This Row],[rating]]&gt;=3.5, "Average", TRUE, "Poor ")</f>
        <v xml:space="preserve">Good </v>
      </c>
      <c r="Q595" s="2" t="str" cm="1">
        <f t="array" ref="Q595">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595" s="2" t="str">
        <f>IF(Computed_insight___Success_of_active_sellers__2[[#This Row],[totalurgencycount]]&gt;0, "Has Banner", "No Banner")</f>
        <v>Has Banner</v>
      </c>
    </row>
    <row r="596" spans="1:18" x14ac:dyDescent="0.3">
      <c r="A596">
        <v>594</v>
      </c>
      <c r="B596" t="s">
        <v>461</v>
      </c>
      <c r="C596">
        <v>1</v>
      </c>
      <c r="D596">
        <v>1000</v>
      </c>
      <c r="E596">
        <v>1000</v>
      </c>
      <c r="F596">
        <v>4.2610000000000001</v>
      </c>
      <c r="G596">
        <v>14298</v>
      </c>
      <c r="H596">
        <v>8</v>
      </c>
      <c r="I596">
        <v>7</v>
      </c>
      <c r="J596">
        <v>-14</v>
      </c>
      <c r="K596">
        <v>-14</v>
      </c>
      <c r="L596">
        <v>439</v>
      </c>
      <c r="O596" s="2" t="str" cm="1">
        <f t="array" ref="O59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96" s="2" t="str" cm="1">
        <f t="array" ref="P596">_xlfn.IFS(Computed_insight___Success_of_active_sellers__2[[#This Row],[rating]]&gt;=4.5, "Excellent ", Computed_insight___Success_of_active_sellers__2[[#This Row],[rating]]&gt;=4, "Good ", Computed_insight___Success_of_active_sellers__2[[#This Row],[rating]]&gt;=3.5, "Average", TRUE, "Poor ")</f>
        <v xml:space="preserve">Good </v>
      </c>
      <c r="Q596" s="2" t="str" cm="1">
        <f t="array" ref="Q59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96" s="2" t="str">
        <f>IF(Computed_insight___Success_of_active_sellers__2[[#This Row],[totalurgencycount]]&gt;0, "Has Banner", "No Banner")</f>
        <v>No Banner</v>
      </c>
    </row>
    <row r="597" spans="1:18" x14ac:dyDescent="0.3">
      <c r="A597">
        <v>595</v>
      </c>
      <c r="B597" t="s">
        <v>591</v>
      </c>
      <c r="C597">
        <v>1</v>
      </c>
      <c r="D597">
        <v>1000</v>
      </c>
      <c r="E597">
        <v>1000</v>
      </c>
      <c r="F597">
        <v>4.2640000000000002</v>
      </c>
      <c r="G597">
        <v>904</v>
      </c>
      <c r="H597">
        <v>5.86</v>
      </c>
      <c r="I597">
        <v>11</v>
      </c>
      <c r="J597">
        <v>47</v>
      </c>
      <c r="K597">
        <v>47</v>
      </c>
      <c r="L597">
        <v>512</v>
      </c>
      <c r="M597">
        <v>1</v>
      </c>
      <c r="N597">
        <v>100</v>
      </c>
      <c r="O597" s="2" t="str" cm="1">
        <f t="array" ref="O59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97" s="2" t="str" cm="1">
        <f t="array" ref="P597">_xlfn.IFS(Computed_insight___Success_of_active_sellers__2[[#This Row],[rating]]&gt;=4.5, "Excellent ", Computed_insight___Success_of_active_sellers__2[[#This Row],[rating]]&gt;=4, "Good ", Computed_insight___Success_of_active_sellers__2[[#This Row],[rating]]&gt;=3.5, "Average", TRUE, "Poor ")</f>
        <v xml:space="preserve">Good </v>
      </c>
      <c r="Q597" s="2" t="str" cm="1">
        <f t="array" ref="Q597">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597" s="2" t="str">
        <f>IF(Computed_insight___Success_of_active_sellers__2[[#This Row],[totalurgencycount]]&gt;0, "Has Banner", "No Banner")</f>
        <v>Has Banner</v>
      </c>
    </row>
    <row r="598" spans="1:18" x14ac:dyDescent="0.3">
      <c r="A598">
        <v>596</v>
      </c>
      <c r="B598" t="s">
        <v>520</v>
      </c>
      <c r="C598">
        <v>1</v>
      </c>
      <c r="D598">
        <v>1000</v>
      </c>
      <c r="E598">
        <v>1000</v>
      </c>
      <c r="F598">
        <v>4.2649999999999997</v>
      </c>
      <c r="G598">
        <v>62240</v>
      </c>
      <c r="H598">
        <v>14</v>
      </c>
      <c r="I598">
        <v>86</v>
      </c>
      <c r="J598">
        <v>84</v>
      </c>
      <c r="K598">
        <v>84</v>
      </c>
      <c r="L598">
        <v>546</v>
      </c>
      <c r="M598">
        <v>1</v>
      </c>
      <c r="N598">
        <v>100</v>
      </c>
      <c r="O598" s="2" t="str" cm="1">
        <f t="array" ref="O59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98" s="2" t="str" cm="1">
        <f t="array" ref="P598">_xlfn.IFS(Computed_insight___Success_of_active_sellers__2[[#This Row],[rating]]&gt;=4.5, "Excellent ", Computed_insight___Success_of_active_sellers__2[[#This Row],[rating]]&gt;=4, "Good ", Computed_insight___Success_of_active_sellers__2[[#This Row],[rating]]&gt;=3.5, "Average", TRUE, "Poor ")</f>
        <v xml:space="preserve">Good </v>
      </c>
      <c r="Q598" s="2" t="str" cm="1">
        <f t="array" ref="Q59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598" s="2" t="str">
        <f>IF(Computed_insight___Success_of_active_sellers__2[[#This Row],[totalurgencycount]]&gt;0, "Has Banner", "No Banner")</f>
        <v>Has Banner</v>
      </c>
    </row>
    <row r="599" spans="1:18" x14ac:dyDescent="0.3">
      <c r="A599">
        <v>597</v>
      </c>
      <c r="B599" t="s">
        <v>585</v>
      </c>
      <c r="C599">
        <v>1</v>
      </c>
      <c r="D599">
        <v>1000</v>
      </c>
      <c r="E599">
        <v>1000</v>
      </c>
      <c r="F599">
        <v>4.2789999999999999</v>
      </c>
      <c r="G599">
        <v>3396</v>
      </c>
      <c r="H599">
        <v>5.73</v>
      </c>
      <c r="I599">
        <v>5</v>
      </c>
      <c r="J599">
        <v>-14</v>
      </c>
      <c r="K599">
        <v>-14</v>
      </c>
      <c r="L599">
        <v>182</v>
      </c>
      <c r="O599" s="2" t="str" cm="1">
        <f t="array" ref="O59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599" s="2" t="str" cm="1">
        <f t="array" ref="P599">_xlfn.IFS(Computed_insight___Success_of_active_sellers__2[[#This Row],[rating]]&gt;=4.5, "Excellent ", Computed_insight___Success_of_active_sellers__2[[#This Row],[rating]]&gt;=4, "Good ", Computed_insight___Success_of_active_sellers__2[[#This Row],[rating]]&gt;=3.5, "Average", TRUE, "Poor ")</f>
        <v xml:space="preserve">Good </v>
      </c>
      <c r="Q599" s="2" t="str" cm="1">
        <f t="array" ref="Q59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599" s="2" t="str">
        <f>IF(Computed_insight___Success_of_active_sellers__2[[#This Row],[totalurgencycount]]&gt;0, "Has Banner", "No Banner")</f>
        <v>No Banner</v>
      </c>
    </row>
    <row r="600" spans="1:18" x14ac:dyDescent="0.3">
      <c r="A600">
        <v>598</v>
      </c>
      <c r="B600" t="s">
        <v>413</v>
      </c>
      <c r="C600">
        <v>1</v>
      </c>
      <c r="D600">
        <v>1000</v>
      </c>
      <c r="E600">
        <v>1000</v>
      </c>
      <c r="F600">
        <v>4.2789999999999999</v>
      </c>
      <c r="G600">
        <v>6383</v>
      </c>
      <c r="H600">
        <v>11</v>
      </c>
      <c r="I600">
        <v>14</v>
      </c>
      <c r="J600">
        <v>22</v>
      </c>
      <c r="K600">
        <v>22</v>
      </c>
      <c r="L600">
        <v>651</v>
      </c>
      <c r="M600">
        <v>1</v>
      </c>
      <c r="N600">
        <v>100</v>
      </c>
      <c r="O600" s="2" t="str" cm="1">
        <f t="array" ref="O60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00" s="2" t="str" cm="1">
        <f t="array" ref="P600">_xlfn.IFS(Computed_insight___Success_of_active_sellers__2[[#This Row],[rating]]&gt;=4.5, "Excellent ", Computed_insight___Success_of_active_sellers__2[[#This Row],[rating]]&gt;=4, "Good ", Computed_insight___Success_of_active_sellers__2[[#This Row],[rating]]&gt;=3.5, "Average", TRUE, "Poor ")</f>
        <v xml:space="preserve">Good </v>
      </c>
      <c r="Q600" s="2" t="str" cm="1">
        <f t="array" ref="Q600">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600" s="2" t="str">
        <f>IF(Computed_insight___Success_of_active_sellers__2[[#This Row],[totalurgencycount]]&gt;0, "Has Banner", "No Banner")</f>
        <v>Has Banner</v>
      </c>
    </row>
    <row r="601" spans="1:18" x14ac:dyDescent="0.3">
      <c r="A601">
        <v>599</v>
      </c>
      <c r="B601" t="s">
        <v>516</v>
      </c>
      <c r="C601">
        <v>1</v>
      </c>
      <c r="D601">
        <v>1000</v>
      </c>
      <c r="E601">
        <v>1000</v>
      </c>
      <c r="F601">
        <v>4.2960000000000003</v>
      </c>
      <c r="G601">
        <v>99800</v>
      </c>
      <c r="H601">
        <v>14</v>
      </c>
      <c r="I601">
        <v>12</v>
      </c>
      <c r="J601">
        <v>-16</v>
      </c>
      <c r="K601">
        <v>-16</v>
      </c>
      <c r="L601">
        <v>176</v>
      </c>
      <c r="O601" s="2" t="str" cm="1">
        <f t="array" ref="O60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01" s="2" t="str" cm="1">
        <f t="array" ref="P601">_xlfn.IFS(Computed_insight___Success_of_active_sellers__2[[#This Row],[rating]]&gt;=4.5, "Excellent ", Computed_insight___Success_of_active_sellers__2[[#This Row],[rating]]&gt;=4, "Good ", Computed_insight___Success_of_active_sellers__2[[#This Row],[rating]]&gt;=3.5, "Average", TRUE, "Poor ")</f>
        <v xml:space="preserve">Good </v>
      </c>
      <c r="Q601" s="2" t="str" cm="1">
        <f t="array" ref="Q60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01" s="2" t="str">
        <f>IF(Computed_insight___Success_of_active_sellers__2[[#This Row],[totalurgencycount]]&gt;0, "Has Banner", "No Banner")</f>
        <v>No Banner</v>
      </c>
    </row>
    <row r="602" spans="1:18" x14ac:dyDescent="0.3">
      <c r="A602">
        <v>600</v>
      </c>
      <c r="B602" t="s">
        <v>831</v>
      </c>
      <c r="C602">
        <v>1</v>
      </c>
      <c r="D602">
        <v>1000</v>
      </c>
      <c r="E602">
        <v>1000</v>
      </c>
      <c r="F602">
        <v>4.298</v>
      </c>
      <c r="G602">
        <v>794</v>
      </c>
      <c r="H602">
        <v>9</v>
      </c>
      <c r="I602">
        <v>8</v>
      </c>
      <c r="J602">
        <v>-12</v>
      </c>
      <c r="K602">
        <v>-12</v>
      </c>
      <c r="L602">
        <v>192</v>
      </c>
      <c r="O602" s="2" t="str" cm="1">
        <f t="array" ref="O60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02" s="2" t="str" cm="1">
        <f t="array" ref="P602">_xlfn.IFS(Computed_insight___Success_of_active_sellers__2[[#This Row],[rating]]&gt;=4.5, "Excellent ", Computed_insight___Success_of_active_sellers__2[[#This Row],[rating]]&gt;=4, "Good ", Computed_insight___Success_of_active_sellers__2[[#This Row],[rating]]&gt;=3.5, "Average", TRUE, "Poor ")</f>
        <v xml:space="preserve">Good </v>
      </c>
      <c r="Q602" s="2" t="str" cm="1">
        <f t="array" ref="Q60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02" s="2" t="str">
        <f>IF(Computed_insight___Success_of_active_sellers__2[[#This Row],[totalurgencycount]]&gt;0, "Has Banner", "No Banner")</f>
        <v>No Banner</v>
      </c>
    </row>
    <row r="603" spans="1:18" x14ac:dyDescent="0.3">
      <c r="A603">
        <v>601</v>
      </c>
      <c r="B603" t="s">
        <v>294</v>
      </c>
      <c r="C603">
        <v>1</v>
      </c>
      <c r="D603">
        <v>1000</v>
      </c>
      <c r="E603">
        <v>1000</v>
      </c>
      <c r="F603">
        <v>4.306</v>
      </c>
      <c r="G603">
        <v>173</v>
      </c>
      <c r="H603">
        <v>8</v>
      </c>
      <c r="I603">
        <v>11</v>
      </c>
      <c r="J603">
        <v>28</v>
      </c>
      <c r="K603">
        <v>28</v>
      </c>
      <c r="L603">
        <v>127</v>
      </c>
      <c r="M603">
        <v>1</v>
      </c>
      <c r="N603">
        <v>100</v>
      </c>
      <c r="O603" s="2" t="str" cm="1">
        <f t="array" ref="O60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03" s="2" t="str" cm="1">
        <f t="array" ref="P603">_xlfn.IFS(Computed_insight___Success_of_active_sellers__2[[#This Row],[rating]]&gt;=4.5, "Excellent ", Computed_insight___Success_of_active_sellers__2[[#This Row],[rating]]&gt;=4, "Good ", Computed_insight___Success_of_active_sellers__2[[#This Row],[rating]]&gt;=3.5, "Average", TRUE, "Poor ")</f>
        <v xml:space="preserve">Good </v>
      </c>
      <c r="Q603" s="2" t="str" cm="1">
        <f t="array" ref="Q603">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603" s="2" t="str">
        <f>IF(Computed_insight___Success_of_active_sellers__2[[#This Row],[totalurgencycount]]&gt;0, "Has Banner", "No Banner")</f>
        <v>Has Banner</v>
      </c>
    </row>
    <row r="604" spans="1:18" x14ac:dyDescent="0.3">
      <c r="A604">
        <v>602</v>
      </c>
      <c r="B604" t="s">
        <v>347</v>
      </c>
      <c r="C604">
        <v>1</v>
      </c>
      <c r="D604">
        <v>1000</v>
      </c>
      <c r="E604">
        <v>1000</v>
      </c>
      <c r="F604">
        <v>4.3079999999999998</v>
      </c>
      <c r="G604">
        <v>4084</v>
      </c>
      <c r="H604">
        <v>24</v>
      </c>
      <c r="I604">
        <v>59</v>
      </c>
      <c r="J604">
        <v>60</v>
      </c>
      <c r="K604">
        <v>60</v>
      </c>
      <c r="L604">
        <v>762</v>
      </c>
      <c r="O604" s="2" t="str" cm="1">
        <f t="array" ref="O60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04" s="2" t="str" cm="1">
        <f t="array" ref="P604">_xlfn.IFS(Computed_insight___Success_of_active_sellers__2[[#This Row],[rating]]&gt;=4.5, "Excellent ", Computed_insight___Success_of_active_sellers__2[[#This Row],[rating]]&gt;=4, "Good ", Computed_insight___Success_of_active_sellers__2[[#This Row],[rating]]&gt;=3.5, "Average", TRUE, "Poor ")</f>
        <v xml:space="preserve">Good </v>
      </c>
      <c r="Q604" s="2" t="str" cm="1">
        <f t="array" ref="Q60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04" s="2" t="str">
        <f>IF(Computed_insight___Success_of_active_sellers__2[[#This Row],[totalurgencycount]]&gt;0, "Has Banner", "No Banner")</f>
        <v>No Banner</v>
      </c>
    </row>
    <row r="605" spans="1:18" x14ac:dyDescent="0.3">
      <c r="A605">
        <v>603</v>
      </c>
      <c r="B605" t="s">
        <v>662</v>
      </c>
      <c r="C605">
        <v>1</v>
      </c>
      <c r="D605">
        <v>1000</v>
      </c>
      <c r="E605">
        <v>1000</v>
      </c>
      <c r="F605">
        <v>4.3159999999999998</v>
      </c>
      <c r="G605">
        <v>2946</v>
      </c>
      <c r="H605">
        <v>7</v>
      </c>
      <c r="I605">
        <v>49</v>
      </c>
      <c r="J605">
        <v>86</v>
      </c>
      <c r="K605">
        <v>86</v>
      </c>
      <c r="L605">
        <v>194</v>
      </c>
      <c r="M605">
        <v>1</v>
      </c>
      <c r="N605">
        <v>100</v>
      </c>
      <c r="O605" s="2" t="str" cm="1">
        <f t="array" ref="O60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05" s="2" t="str" cm="1">
        <f t="array" ref="P605">_xlfn.IFS(Computed_insight___Success_of_active_sellers__2[[#This Row],[rating]]&gt;=4.5, "Excellent ", Computed_insight___Success_of_active_sellers__2[[#This Row],[rating]]&gt;=4, "Good ", Computed_insight___Success_of_active_sellers__2[[#This Row],[rating]]&gt;=3.5, "Average", TRUE, "Poor ")</f>
        <v xml:space="preserve">Good </v>
      </c>
      <c r="Q605" s="2" t="str" cm="1">
        <f t="array" ref="Q60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05" s="2" t="str">
        <f>IF(Computed_insight___Success_of_active_sellers__2[[#This Row],[totalurgencycount]]&gt;0, "Has Banner", "No Banner")</f>
        <v>Has Banner</v>
      </c>
    </row>
    <row r="606" spans="1:18" x14ac:dyDescent="0.3">
      <c r="A606">
        <v>604</v>
      </c>
      <c r="B606" t="s">
        <v>683</v>
      </c>
      <c r="C606">
        <v>1</v>
      </c>
      <c r="D606">
        <v>1000</v>
      </c>
      <c r="E606">
        <v>1000</v>
      </c>
      <c r="F606">
        <v>4.319</v>
      </c>
      <c r="G606">
        <v>791</v>
      </c>
      <c r="H606">
        <v>3.84</v>
      </c>
      <c r="I606">
        <v>4</v>
      </c>
      <c r="J606">
        <v>4</v>
      </c>
      <c r="K606">
        <v>4</v>
      </c>
      <c r="L606">
        <v>55</v>
      </c>
      <c r="O606" s="2" t="str" cm="1">
        <f t="array" ref="O60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06" s="2" t="str" cm="1">
        <f t="array" ref="P606">_xlfn.IFS(Computed_insight___Success_of_active_sellers__2[[#This Row],[rating]]&gt;=4.5, "Excellent ", Computed_insight___Success_of_active_sellers__2[[#This Row],[rating]]&gt;=4, "Good ", Computed_insight___Success_of_active_sellers__2[[#This Row],[rating]]&gt;=3.5, "Average", TRUE, "Poor ")</f>
        <v xml:space="preserve">Good </v>
      </c>
      <c r="Q606" s="2" t="str" cm="1">
        <f t="array" ref="Q606">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606" s="2" t="str">
        <f>IF(Computed_insight___Success_of_active_sellers__2[[#This Row],[totalurgencycount]]&gt;0, "Has Banner", "No Banner")</f>
        <v>No Banner</v>
      </c>
    </row>
    <row r="607" spans="1:18" x14ac:dyDescent="0.3">
      <c r="A607">
        <v>605</v>
      </c>
      <c r="B607" t="s">
        <v>342</v>
      </c>
      <c r="C607">
        <v>1</v>
      </c>
      <c r="D607">
        <v>1000</v>
      </c>
      <c r="E607">
        <v>1000</v>
      </c>
      <c r="F607">
        <v>4.3239999999999998</v>
      </c>
      <c r="G607">
        <v>10963</v>
      </c>
      <c r="H607">
        <v>7</v>
      </c>
      <c r="I607">
        <v>6</v>
      </c>
      <c r="J607">
        <v>-16</v>
      </c>
      <c r="K607">
        <v>-16</v>
      </c>
      <c r="L607">
        <v>144</v>
      </c>
      <c r="O607" s="2" t="str" cm="1">
        <f t="array" ref="O60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07" s="2" t="str" cm="1">
        <f t="array" ref="P607">_xlfn.IFS(Computed_insight___Success_of_active_sellers__2[[#This Row],[rating]]&gt;=4.5, "Excellent ", Computed_insight___Success_of_active_sellers__2[[#This Row],[rating]]&gt;=4, "Good ", Computed_insight___Success_of_active_sellers__2[[#This Row],[rating]]&gt;=3.5, "Average", TRUE, "Poor ")</f>
        <v xml:space="preserve">Good </v>
      </c>
      <c r="Q607" s="2" t="str" cm="1">
        <f t="array" ref="Q60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07" s="2" t="str">
        <f>IF(Computed_insight___Success_of_active_sellers__2[[#This Row],[totalurgencycount]]&gt;0, "Has Banner", "No Banner")</f>
        <v>No Banner</v>
      </c>
    </row>
    <row r="608" spans="1:18" x14ac:dyDescent="0.3">
      <c r="A608">
        <v>606</v>
      </c>
      <c r="B608" t="s">
        <v>619</v>
      </c>
      <c r="C608">
        <v>1</v>
      </c>
      <c r="D608">
        <v>1000</v>
      </c>
      <c r="E608">
        <v>1000</v>
      </c>
      <c r="F608">
        <v>4.3319999999999999</v>
      </c>
      <c r="G608">
        <v>4425</v>
      </c>
      <c r="H608">
        <v>7</v>
      </c>
      <c r="I608">
        <v>6</v>
      </c>
      <c r="J608">
        <v>-16</v>
      </c>
      <c r="K608">
        <v>-16</v>
      </c>
      <c r="L608">
        <v>207</v>
      </c>
      <c r="M608">
        <v>1</v>
      </c>
      <c r="N608">
        <v>100</v>
      </c>
      <c r="O608" s="2" t="str" cm="1">
        <f t="array" ref="O60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08" s="2" t="str" cm="1">
        <f t="array" ref="P608">_xlfn.IFS(Computed_insight___Success_of_active_sellers__2[[#This Row],[rating]]&gt;=4.5, "Excellent ", Computed_insight___Success_of_active_sellers__2[[#This Row],[rating]]&gt;=4, "Good ", Computed_insight___Success_of_active_sellers__2[[#This Row],[rating]]&gt;=3.5, "Average", TRUE, "Poor ")</f>
        <v xml:space="preserve">Good </v>
      </c>
      <c r="Q608" s="2" t="str" cm="1">
        <f t="array" ref="Q60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08" s="2" t="str">
        <f>IF(Computed_insight___Success_of_active_sellers__2[[#This Row],[totalurgencycount]]&gt;0, "Has Banner", "No Banner")</f>
        <v>Has Banner</v>
      </c>
    </row>
    <row r="609" spans="1:18" x14ac:dyDescent="0.3">
      <c r="A609">
        <v>607</v>
      </c>
      <c r="B609" t="s">
        <v>384</v>
      </c>
      <c r="C609">
        <v>1</v>
      </c>
      <c r="D609">
        <v>1000</v>
      </c>
      <c r="E609">
        <v>1000</v>
      </c>
      <c r="F609">
        <v>4.3339999999999996</v>
      </c>
      <c r="G609">
        <v>895</v>
      </c>
      <c r="H609">
        <v>11</v>
      </c>
      <c r="I609">
        <v>85</v>
      </c>
      <c r="J609">
        <v>88</v>
      </c>
      <c r="K609">
        <v>88</v>
      </c>
      <c r="L609">
        <v>454</v>
      </c>
      <c r="M609">
        <v>1</v>
      </c>
      <c r="N609">
        <v>100</v>
      </c>
      <c r="O609" s="2" t="str" cm="1">
        <f t="array" ref="O60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09" s="2" t="str" cm="1">
        <f t="array" ref="P609">_xlfn.IFS(Computed_insight___Success_of_active_sellers__2[[#This Row],[rating]]&gt;=4.5, "Excellent ", Computed_insight___Success_of_active_sellers__2[[#This Row],[rating]]&gt;=4, "Good ", Computed_insight___Success_of_active_sellers__2[[#This Row],[rating]]&gt;=3.5, "Average", TRUE, "Poor ")</f>
        <v xml:space="preserve">Good </v>
      </c>
      <c r="Q609" s="2" t="str" cm="1">
        <f t="array" ref="Q60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09" s="2" t="str">
        <f>IF(Computed_insight___Success_of_active_sellers__2[[#This Row],[totalurgencycount]]&gt;0, "Has Banner", "No Banner")</f>
        <v>Has Banner</v>
      </c>
    </row>
    <row r="610" spans="1:18" x14ac:dyDescent="0.3">
      <c r="A610">
        <v>608</v>
      </c>
      <c r="B610" t="s">
        <v>344</v>
      </c>
      <c r="C610">
        <v>1</v>
      </c>
      <c r="D610">
        <v>1000</v>
      </c>
      <c r="E610">
        <v>1000</v>
      </c>
      <c r="F610">
        <v>4.3369999999999997</v>
      </c>
      <c r="G610">
        <v>3403</v>
      </c>
      <c r="H610">
        <v>8</v>
      </c>
      <c r="I610">
        <v>48</v>
      </c>
      <c r="J610">
        <v>84</v>
      </c>
      <c r="K610">
        <v>84</v>
      </c>
      <c r="L610">
        <v>794</v>
      </c>
      <c r="O610" s="2" t="str" cm="1">
        <f t="array" ref="O61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10" s="2" t="str" cm="1">
        <f t="array" ref="P610">_xlfn.IFS(Computed_insight___Success_of_active_sellers__2[[#This Row],[rating]]&gt;=4.5, "Excellent ", Computed_insight___Success_of_active_sellers__2[[#This Row],[rating]]&gt;=4, "Good ", Computed_insight___Success_of_active_sellers__2[[#This Row],[rating]]&gt;=3.5, "Average", TRUE, "Poor ")</f>
        <v xml:space="preserve">Good </v>
      </c>
      <c r="Q610" s="2" t="str" cm="1">
        <f t="array" ref="Q61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10" s="2" t="str">
        <f>IF(Computed_insight___Success_of_active_sellers__2[[#This Row],[totalurgencycount]]&gt;0, "Has Banner", "No Banner")</f>
        <v>No Banner</v>
      </c>
    </row>
    <row r="611" spans="1:18" x14ac:dyDescent="0.3">
      <c r="A611">
        <v>609</v>
      </c>
      <c r="B611" t="s">
        <v>510</v>
      </c>
      <c r="C611">
        <v>1</v>
      </c>
      <c r="D611">
        <v>1000</v>
      </c>
      <c r="E611">
        <v>1000</v>
      </c>
      <c r="F611">
        <v>4.3369999999999997</v>
      </c>
      <c r="G611">
        <v>44840</v>
      </c>
      <c r="H611">
        <v>12</v>
      </c>
      <c r="I611">
        <v>72</v>
      </c>
      <c r="J611">
        <v>84</v>
      </c>
      <c r="K611">
        <v>84</v>
      </c>
      <c r="L611">
        <v>566</v>
      </c>
      <c r="O611" s="2" t="str" cm="1">
        <f t="array" ref="O61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11" s="2" t="str" cm="1">
        <f t="array" ref="P611">_xlfn.IFS(Computed_insight___Success_of_active_sellers__2[[#This Row],[rating]]&gt;=4.5, "Excellent ", Computed_insight___Success_of_active_sellers__2[[#This Row],[rating]]&gt;=4, "Good ", Computed_insight___Success_of_active_sellers__2[[#This Row],[rating]]&gt;=3.5, "Average", TRUE, "Poor ")</f>
        <v xml:space="preserve">Good </v>
      </c>
      <c r="Q611" s="2" t="str" cm="1">
        <f t="array" ref="Q61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11" s="2" t="str">
        <f>IF(Computed_insight___Success_of_active_sellers__2[[#This Row],[totalurgencycount]]&gt;0, "Has Banner", "No Banner")</f>
        <v>No Banner</v>
      </c>
    </row>
    <row r="612" spans="1:18" x14ac:dyDescent="0.3">
      <c r="A612">
        <v>610</v>
      </c>
      <c r="B612" t="s">
        <v>181</v>
      </c>
      <c r="C612">
        <v>1</v>
      </c>
      <c r="D612">
        <v>1000</v>
      </c>
      <c r="E612">
        <v>1000</v>
      </c>
      <c r="F612">
        <v>4.3490000000000002</v>
      </c>
      <c r="G612">
        <v>2996</v>
      </c>
      <c r="H612">
        <v>6</v>
      </c>
      <c r="I612">
        <v>6</v>
      </c>
      <c r="J612">
        <v>0</v>
      </c>
      <c r="K612">
        <v>0</v>
      </c>
      <c r="L612">
        <v>505</v>
      </c>
      <c r="O612" s="2" t="str" cm="1">
        <f t="array" ref="O61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12" s="2" t="str" cm="1">
        <f t="array" ref="P612">_xlfn.IFS(Computed_insight___Success_of_active_sellers__2[[#This Row],[rating]]&gt;=4.5, "Excellent ", Computed_insight___Success_of_active_sellers__2[[#This Row],[rating]]&gt;=4, "Good ", Computed_insight___Success_of_active_sellers__2[[#This Row],[rating]]&gt;=3.5, "Average", TRUE, "Poor ")</f>
        <v xml:space="preserve">Good </v>
      </c>
      <c r="Q612" s="2" t="str" cm="1">
        <f t="array" ref="Q61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12" s="2" t="str">
        <f>IF(Computed_insight___Success_of_active_sellers__2[[#This Row],[totalurgencycount]]&gt;0, "Has Banner", "No Banner")</f>
        <v>No Banner</v>
      </c>
    </row>
    <row r="613" spans="1:18" x14ac:dyDescent="0.3">
      <c r="A613">
        <v>611</v>
      </c>
      <c r="B613" t="s">
        <v>931</v>
      </c>
      <c r="C613">
        <v>1</v>
      </c>
      <c r="D613">
        <v>1000</v>
      </c>
      <c r="E613">
        <v>1000</v>
      </c>
      <c r="F613">
        <v>4.3499999999999996</v>
      </c>
      <c r="G613">
        <v>32318</v>
      </c>
      <c r="H613">
        <v>3.72</v>
      </c>
      <c r="I613">
        <v>11</v>
      </c>
      <c r="J613">
        <v>67</v>
      </c>
      <c r="K613">
        <v>67</v>
      </c>
      <c r="L613">
        <v>178</v>
      </c>
      <c r="O613" s="2" t="str" cm="1">
        <f t="array" ref="O61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13" s="2" t="str" cm="1">
        <f t="array" ref="P613">_xlfn.IFS(Computed_insight___Success_of_active_sellers__2[[#This Row],[rating]]&gt;=4.5, "Excellent ", Computed_insight___Success_of_active_sellers__2[[#This Row],[rating]]&gt;=4, "Good ", Computed_insight___Success_of_active_sellers__2[[#This Row],[rating]]&gt;=3.5, "Average", TRUE, "Poor ")</f>
        <v xml:space="preserve">Good </v>
      </c>
      <c r="Q613" s="2" t="str" cm="1">
        <f t="array" ref="Q61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13" s="2" t="str">
        <f>IF(Computed_insight___Success_of_active_sellers__2[[#This Row],[totalurgencycount]]&gt;0, "Has Banner", "No Banner")</f>
        <v>No Banner</v>
      </c>
    </row>
    <row r="614" spans="1:18" x14ac:dyDescent="0.3">
      <c r="A614">
        <v>612</v>
      </c>
      <c r="B614" t="s">
        <v>829</v>
      </c>
      <c r="C614">
        <v>1</v>
      </c>
      <c r="D614">
        <v>1000</v>
      </c>
      <c r="E614">
        <v>1000</v>
      </c>
      <c r="F614">
        <v>4.3520000000000003</v>
      </c>
      <c r="G614">
        <v>1428</v>
      </c>
      <c r="H614">
        <v>6</v>
      </c>
      <c r="I614">
        <v>6</v>
      </c>
      <c r="J614">
        <v>0</v>
      </c>
      <c r="K614">
        <v>0</v>
      </c>
      <c r="L614">
        <v>330</v>
      </c>
      <c r="O614" s="2" t="str" cm="1">
        <f t="array" ref="O61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14" s="2" t="str" cm="1">
        <f t="array" ref="P614">_xlfn.IFS(Computed_insight___Success_of_active_sellers__2[[#This Row],[rating]]&gt;=4.5, "Excellent ", Computed_insight___Success_of_active_sellers__2[[#This Row],[rating]]&gt;=4, "Good ", Computed_insight___Success_of_active_sellers__2[[#This Row],[rating]]&gt;=3.5, "Average", TRUE, "Poor ")</f>
        <v xml:space="preserve">Good </v>
      </c>
      <c r="Q614" s="2" t="str" cm="1">
        <f t="array" ref="Q61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14" s="2" t="str">
        <f>IF(Computed_insight___Success_of_active_sellers__2[[#This Row],[totalurgencycount]]&gt;0, "Has Banner", "No Banner")</f>
        <v>No Banner</v>
      </c>
    </row>
    <row r="615" spans="1:18" x14ac:dyDescent="0.3">
      <c r="A615">
        <v>613</v>
      </c>
      <c r="B615" t="s">
        <v>803</v>
      </c>
      <c r="C615">
        <v>1</v>
      </c>
      <c r="D615">
        <v>1000</v>
      </c>
      <c r="E615">
        <v>1000</v>
      </c>
      <c r="F615">
        <v>4.3570000000000002</v>
      </c>
      <c r="G615">
        <v>13909</v>
      </c>
      <c r="H615">
        <v>5</v>
      </c>
      <c r="I615">
        <v>5</v>
      </c>
      <c r="J615">
        <v>0</v>
      </c>
      <c r="K615">
        <v>0</v>
      </c>
      <c r="L615">
        <v>166</v>
      </c>
      <c r="O615" s="2" t="str" cm="1">
        <f t="array" ref="O61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15" s="2" t="str" cm="1">
        <f t="array" ref="P615">_xlfn.IFS(Computed_insight___Success_of_active_sellers__2[[#This Row],[rating]]&gt;=4.5, "Excellent ", Computed_insight___Success_of_active_sellers__2[[#This Row],[rating]]&gt;=4, "Good ", Computed_insight___Success_of_active_sellers__2[[#This Row],[rating]]&gt;=3.5, "Average", TRUE, "Poor ")</f>
        <v xml:space="preserve">Good </v>
      </c>
      <c r="Q615" s="2" t="str" cm="1">
        <f t="array" ref="Q61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15" s="2" t="str">
        <f>IF(Computed_insight___Success_of_active_sellers__2[[#This Row],[totalurgencycount]]&gt;0, "Has Banner", "No Banner")</f>
        <v>No Banner</v>
      </c>
    </row>
    <row r="616" spans="1:18" x14ac:dyDescent="0.3">
      <c r="A616">
        <v>614</v>
      </c>
      <c r="B616" t="s">
        <v>593</v>
      </c>
      <c r="C616">
        <v>1</v>
      </c>
      <c r="D616">
        <v>1000</v>
      </c>
      <c r="E616">
        <v>1000</v>
      </c>
      <c r="F616">
        <v>4.38</v>
      </c>
      <c r="G616">
        <v>27740</v>
      </c>
      <c r="H616">
        <v>9</v>
      </c>
      <c r="I616">
        <v>38</v>
      </c>
      <c r="J616">
        <v>77</v>
      </c>
      <c r="K616">
        <v>77</v>
      </c>
      <c r="L616">
        <v>312</v>
      </c>
      <c r="M616">
        <v>1</v>
      </c>
      <c r="N616">
        <v>100</v>
      </c>
      <c r="O616" s="2" t="str" cm="1">
        <f t="array" ref="O61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16" s="2" t="str" cm="1">
        <f t="array" ref="P616">_xlfn.IFS(Computed_insight___Success_of_active_sellers__2[[#This Row],[rating]]&gt;=4.5, "Excellent ", Computed_insight___Success_of_active_sellers__2[[#This Row],[rating]]&gt;=4, "Good ", Computed_insight___Success_of_active_sellers__2[[#This Row],[rating]]&gt;=3.5, "Average", TRUE, "Poor ")</f>
        <v xml:space="preserve">Good </v>
      </c>
      <c r="Q616" s="2" t="str" cm="1">
        <f t="array" ref="Q61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16" s="2" t="str">
        <f>IF(Computed_insight___Success_of_active_sellers__2[[#This Row],[totalurgencycount]]&gt;0, "Has Banner", "No Banner")</f>
        <v>Has Banner</v>
      </c>
    </row>
    <row r="617" spans="1:18" x14ac:dyDescent="0.3">
      <c r="A617">
        <v>615</v>
      </c>
      <c r="B617" t="s">
        <v>815</v>
      </c>
      <c r="C617">
        <v>1</v>
      </c>
      <c r="D617">
        <v>1000</v>
      </c>
      <c r="E617">
        <v>1000</v>
      </c>
      <c r="F617">
        <v>4.38</v>
      </c>
      <c r="G617">
        <v>17922</v>
      </c>
      <c r="H617">
        <v>11</v>
      </c>
      <c r="I617">
        <v>10</v>
      </c>
      <c r="J617">
        <v>-10</v>
      </c>
      <c r="K617">
        <v>-10</v>
      </c>
      <c r="L617">
        <v>413</v>
      </c>
      <c r="O617" s="2" t="str" cm="1">
        <f t="array" ref="O61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17" s="2" t="str" cm="1">
        <f t="array" ref="P617">_xlfn.IFS(Computed_insight___Success_of_active_sellers__2[[#This Row],[rating]]&gt;=4.5, "Excellent ", Computed_insight___Success_of_active_sellers__2[[#This Row],[rating]]&gt;=4, "Good ", Computed_insight___Success_of_active_sellers__2[[#This Row],[rating]]&gt;=3.5, "Average", TRUE, "Poor ")</f>
        <v xml:space="preserve">Good </v>
      </c>
      <c r="Q617" s="2" t="str" cm="1">
        <f t="array" ref="Q61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17" s="2" t="str">
        <f>IF(Computed_insight___Success_of_active_sellers__2[[#This Row],[totalurgencycount]]&gt;0, "Has Banner", "No Banner")</f>
        <v>No Banner</v>
      </c>
    </row>
    <row r="618" spans="1:18" x14ac:dyDescent="0.3">
      <c r="A618">
        <v>616</v>
      </c>
      <c r="B618" t="s">
        <v>691</v>
      </c>
      <c r="C618">
        <v>1</v>
      </c>
      <c r="D618">
        <v>1000</v>
      </c>
      <c r="E618">
        <v>1000</v>
      </c>
      <c r="F618">
        <v>4.383</v>
      </c>
      <c r="G618">
        <v>6275</v>
      </c>
      <c r="H618">
        <v>8</v>
      </c>
      <c r="I618">
        <v>38</v>
      </c>
      <c r="J618">
        <v>79</v>
      </c>
      <c r="K618">
        <v>79</v>
      </c>
      <c r="L618">
        <v>196</v>
      </c>
      <c r="M618">
        <v>1</v>
      </c>
      <c r="N618">
        <v>100</v>
      </c>
      <c r="O618" s="2" t="str" cm="1">
        <f t="array" ref="O61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18" s="2" t="str" cm="1">
        <f t="array" ref="P618">_xlfn.IFS(Computed_insight___Success_of_active_sellers__2[[#This Row],[rating]]&gt;=4.5, "Excellent ", Computed_insight___Success_of_active_sellers__2[[#This Row],[rating]]&gt;=4, "Good ", Computed_insight___Success_of_active_sellers__2[[#This Row],[rating]]&gt;=3.5, "Average", TRUE, "Poor ")</f>
        <v xml:space="preserve">Good </v>
      </c>
      <c r="Q618" s="2" t="str" cm="1">
        <f t="array" ref="Q61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18" s="2" t="str">
        <f>IF(Computed_insight___Success_of_active_sellers__2[[#This Row],[totalurgencycount]]&gt;0, "Has Banner", "No Banner")</f>
        <v>Has Banner</v>
      </c>
    </row>
    <row r="619" spans="1:18" x14ac:dyDescent="0.3">
      <c r="A619">
        <v>617</v>
      </c>
      <c r="B619" t="s">
        <v>885</v>
      </c>
      <c r="C619">
        <v>1</v>
      </c>
      <c r="D619">
        <v>1000</v>
      </c>
      <c r="E619">
        <v>1000</v>
      </c>
      <c r="F619">
        <v>4.3929999999999998</v>
      </c>
      <c r="G619">
        <v>15221</v>
      </c>
      <c r="H619">
        <v>1.66</v>
      </c>
      <c r="I619">
        <v>2</v>
      </c>
      <c r="J619">
        <v>17</v>
      </c>
      <c r="K619">
        <v>17</v>
      </c>
      <c r="L619">
        <v>33</v>
      </c>
      <c r="O619" s="2" t="str" cm="1">
        <f t="array" ref="O61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19" s="2" t="str" cm="1">
        <f t="array" ref="P619">_xlfn.IFS(Computed_insight___Success_of_active_sellers__2[[#This Row],[rating]]&gt;=4.5, "Excellent ", Computed_insight___Success_of_active_sellers__2[[#This Row],[rating]]&gt;=4, "Good ", Computed_insight___Success_of_active_sellers__2[[#This Row],[rating]]&gt;=3.5, "Average", TRUE, "Poor ")</f>
        <v xml:space="preserve">Good </v>
      </c>
      <c r="Q619" s="2" t="str" cm="1">
        <f t="array" ref="Q619">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619" s="2" t="str">
        <f>IF(Computed_insight___Success_of_active_sellers__2[[#This Row],[totalurgencycount]]&gt;0, "Has Banner", "No Banner")</f>
        <v>No Banner</v>
      </c>
    </row>
    <row r="620" spans="1:18" x14ac:dyDescent="0.3">
      <c r="A620">
        <v>618</v>
      </c>
      <c r="B620" t="s">
        <v>361</v>
      </c>
      <c r="C620">
        <v>1</v>
      </c>
      <c r="D620">
        <v>1000</v>
      </c>
      <c r="E620">
        <v>1000</v>
      </c>
      <c r="F620">
        <v>4.4169999999999998</v>
      </c>
      <c r="G620">
        <v>3439</v>
      </c>
      <c r="H620">
        <v>6</v>
      </c>
      <c r="I620">
        <v>22</v>
      </c>
      <c r="J620">
        <v>73</v>
      </c>
      <c r="K620">
        <v>73</v>
      </c>
      <c r="L620">
        <v>201</v>
      </c>
      <c r="M620">
        <v>1</v>
      </c>
      <c r="N620">
        <v>100</v>
      </c>
      <c r="O620" s="2" t="str" cm="1">
        <f t="array" ref="O62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20" s="2" t="str" cm="1">
        <f t="array" ref="P620">_xlfn.IFS(Computed_insight___Success_of_active_sellers__2[[#This Row],[rating]]&gt;=4.5, "Excellent ", Computed_insight___Success_of_active_sellers__2[[#This Row],[rating]]&gt;=4, "Good ", Computed_insight___Success_of_active_sellers__2[[#This Row],[rating]]&gt;=3.5, "Average", TRUE, "Poor ")</f>
        <v xml:space="preserve">Good </v>
      </c>
      <c r="Q620" s="2" t="str" cm="1">
        <f t="array" ref="Q62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20" s="2" t="str">
        <f>IF(Computed_insight___Success_of_active_sellers__2[[#This Row],[totalurgencycount]]&gt;0, "Has Banner", "No Banner")</f>
        <v>Has Banner</v>
      </c>
    </row>
    <row r="621" spans="1:18" x14ac:dyDescent="0.3">
      <c r="A621">
        <v>619</v>
      </c>
      <c r="B621" t="s">
        <v>953</v>
      </c>
      <c r="C621">
        <v>1</v>
      </c>
      <c r="D621">
        <v>1000</v>
      </c>
      <c r="E621">
        <v>1000</v>
      </c>
      <c r="F621">
        <v>4.42</v>
      </c>
      <c r="G621">
        <v>1370</v>
      </c>
      <c r="H621">
        <v>13</v>
      </c>
      <c r="I621">
        <v>72</v>
      </c>
      <c r="J621">
        <v>82</v>
      </c>
      <c r="K621">
        <v>82</v>
      </c>
      <c r="L621">
        <v>326</v>
      </c>
      <c r="O621" s="2" t="str" cm="1">
        <f t="array" ref="O62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21" s="2" t="str" cm="1">
        <f t="array" ref="P621">_xlfn.IFS(Computed_insight___Success_of_active_sellers__2[[#This Row],[rating]]&gt;=4.5, "Excellent ", Computed_insight___Success_of_active_sellers__2[[#This Row],[rating]]&gt;=4, "Good ", Computed_insight___Success_of_active_sellers__2[[#This Row],[rating]]&gt;=3.5, "Average", TRUE, "Poor ")</f>
        <v xml:space="preserve">Good </v>
      </c>
      <c r="Q621" s="2" t="str" cm="1">
        <f t="array" ref="Q62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21" s="2" t="str">
        <f>IF(Computed_insight___Success_of_active_sellers__2[[#This Row],[totalurgencycount]]&gt;0, "Has Banner", "No Banner")</f>
        <v>No Banner</v>
      </c>
    </row>
    <row r="622" spans="1:18" x14ac:dyDescent="0.3">
      <c r="A622">
        <v>620</v>
      </c>
      <c r="B622" t="s">
        <v>941</v>
      </c>
      <c r="C622">
        <v>1</v>
      </c>
      <c r="D622">
        <v>1000</v>
      </c>
      <c r="E622">
        <v>1000</v>
      </c>
      <c r="F622">
        <v>4.423</v>
      </c>
      <c r="G622">
        <v>2904</v>
      </c>
      <c r="H622">
        <v>5</v>
      </c>
      <c r="I622">
        <v>5</v>
      </c>
      <c r="J622">
        <v>0</v>
      </c>
      <c r="K622">
        <v>0</v>
      </c>
      <c r="L622">
        <v>377</v>
      </c>
      <c r="O622" s="2" t="str" cm="1">
        <f t="array" ref="O62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22" s="2" t="str" cm="1">
        <f t="array" ref="P622">_xlfn.IFS(Computed_insight___Success_of_active_sellers__2[[#This Row],[rating]]&gt;=4.5, "Excellent ", Computed_insight___Success_of_active_sellers__2[[#This Row],[rating]]&gt;=4, "Good ", Computed_insight___Success_of_active_sellers__2[[#This Row],[rating]]&gt;=3.5, "Average", TRUE, "Poor ")</f>
        <v xml:space="preserve">Good </v>
      </c>
      <c r="Q622" s="2" t="str" cm="1">
        <f t="array" ref="Q62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22" s="2" t="str">
        <f>IF(Computed_insight___Success_of_active_sellers__2[[#This Row],[totalurgencycount]]&gt;0, "Has Banner", "No Banner")</f>
        <v>No Banner</v>
      </c>
    </row>
    <row r="623" spans="1:18" x14ac:dyDescent="0.3">
      <c r="A623">
        <v>621</v>
      </c>
      <c r="B623" t="s">
        <v>142</v>
      </c>
      <c r="C623">
        <v>5</v>
      </c>
      <c r="D623">
        <v>500</v>
      </c>
      <c r="E623">
        <v>100</v>
      </c>
      <c r="F623">
        <v>3.956</v>
      </c>
      <c r="G623">
        <v>1047</v>
      </c>
      <c r="H623">
        <v>3.81</v>
      </c>
      <c r="I623">
        <v>3.6</v>
      </c>
      <c r="J623">
        <v>3</v>
      </c>
      <c r="K623">
        <v>3.2</v>
      </c>
      <c r="L623">
        <v>33</v>
      </c>
      <c r="M623">
        <v>2</v>
      </c>
      <c r="N623">
        <v>40</v>
      </c>
      <c r="O623" s="2" t="str" cm="1">
        <f t="array" ref="O62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23" s="2" t="str" cm="1">
        <f t="array" ref="P623">_xlfn.IFS(Computed_insight___Success_of_active_sellers__2[[#This Row],[rating]]&gt;=4.5, "Excellent ", Computed_insight___Success_of_active_sellers__2[[#This Row],[rating]]&gt;=4, "Good ", Computed_insight___Success_of_active_sellers__2[[#This Row],[rating]]&gt;=3.5, "Average", TRUE, "Poor ")</f>
        <v>Average</v>
      </c>
      <c r="Q623" s="2" t="str" cm="1">
        <f t="array" ref="Q623">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623" s="2" t="str">
        <f>IF(Computed_insight___Success_of_active_sellers__2[[#This Row],[totalurgencycount]]&gt;0, "Has Banner", "No Banner")</f>
        <v>Has Banner</v>
      </c>
    </row>
    <row r="624" spans="1:18" x14ac:dyDescent="0.3">
      <c r="A624">
        <v>622</v>
      </c>
      <c r="B624" t="s">
        <v>125</v>
      </c>
      <c r="C624">
        <v>6</v>
      </c>
      <c r="D624">
        <v>500</v>
      </c>
      <c r="E624">
        <v>83</v>
      </c>
      <c r="F624">
        <v>4.069</v>
      </c>
      <c r="G624">
        <v>2782</v>
      </c>
      <c r="H624">
        <v>6.14</v>
      </c>
      <c r="I624">
        <v>7.33</v>
      </c>
      <c r="J624">
        <v>22</v>
      </c>
      <c r="K624">
        <v>22.33</v>
      </c>
      <c r="L624">
        <v>29</v>
      </c>
      <c r="M624">
        <v>3</v>
      </c>
      <c r="N624">
        <v>50</v>
      </c>
      <c r="O624" s="2" t="str" cm="1">
        <f t="array" ref="O62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24" s="2" t="str" cm="1">
        <f t="array" ref="P624">_xlfn.IFS(Computed_insight___Success_of_active_sellers__2[[#This Row],[rating]]&gt;=4.5, "Excellent ", Computed_insight___Success_of_active_sellers__2[[#This Row],[rating]]&gt;=4, "Good ", Computed_insight___Success_of_active_sellers__2[[#This Row],[rating]]&gt;=3.5, "Average", TRUE, "Poor ")</f>
        <v xml:space="preserve">Good </v>
      </c>
      <c r="Q624" s="2" t="str" cm="1">
        <f t="array" ref="Q624">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624" s="2" t="str">
        <f>IF(Computed_insight___Success_of_active_sellers__2[[#This Row],[totalurgencycount]]&gt;0, "Has Banner", "No Banner")</f>
        <v>Has Banner</v>
      </c>
    </row>
    <row r="625" spans="1:18" x14ac:dyDescent="0.3">
      <c r="A625">
        <v>623</v>
      </c>
      <c r="B625" t="s">
        <v>541</v>
      </c>
      <c r="C625">
        <v>4</v>
      </c>
      <c r="D625">
        <v>400</v>
      </c>
      <c r="E625">
        <v>100</v>
      </c>
      <c r="F625">
        <v>3.802</v>
      </c>
      <c r="G625">
        <v>111</v>
      </c>
      <c r="H625">
        <v>7.5</v>
      </c>
      <c r="I625">
        <v>10</v>
      </c>
      <c r="J625">
        <v>30</v>
      </c>
      <c r="K625">
        <v>30</v>
      </c>
      <c r="L625">
        <v>11</v>
      </c>
      <c r="M625">
        <v>2</v>
      </c>
      <c r="N625">
        <v>50</v>
      </c>
      <c r="O625" s="2" t="str" cm="1">
        <f t="array" ref="O62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25" s="2" t="str" cm="1">
        <f t="array" ref="P625">_xlfn.IFS(Computed_insight___Success_of_active_sellers__2[[#This Row],[rating]]&gt;=4.5, "Excellent ", Computed_insight___Success_of_active_sellers__2[[#This Row],[rating]]&gt;=4, "Good ", Computed_insight___Success_of_active_sellers__2[[#This Row],[rating]]&gt;=3.5, "Average", TRUE, "Poor ")</f>
        <v>Average</v>
      </c>
      <c r="Q625" s="2" t="str" cm="1">
        <f t="array" ref="Q625">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625" s="2" t="str">
        <f>IF(Computed_insight___Success_of_active_sellers__2[[#This Row],[totalurgencycount]]&gt;0, "Has Banner", "No Banner")</f>
        <v>Has Banner</v>
      </c>
    </row>
    <row r="626" spans="1:18" x14ac:dyDescent="0.3">
      <c r="A626">
        <v>624</v>
      </c>
      <c r="B626" t="s">
        <v>393</v>
      </c>
      <c r="C626">
        <v>4</v>
      </c>
      <c r="D626">
        <v>400</v>
      </c>
      <c r="E626">
        <v>100</v>
      </c>
      <c r="F626">
        <v>3.9750000000000001</v>
      </c>
      <c r="G626">
        <v>366</v>
      </c>
      <c r="H626">
        <v>7</v>
      </c>
      <c r="I626">
        <v>6.5</v>
      </c>
      <c r="J626">
        <v>-4</v>
      </c>
      <c r="K626">
        <v>-4.5</v>
      </c>
      <c r="L626">
        <v>9</v>
      </c>
      <c r="M626">
        <v>2</v>
      </c>
      <c r="N626">
        <v>50</v>
      </c>
      <c r="O626" s="2" t="str" cm="1">
        <f t="array" ref="O62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26" s="2" t="str" cm="1">
        <f t="array" ref="P626">_xlfn.IFS(Computed_insight___Success_of_active_sellers__2[[#This Row],[rating]]&gt;=4.5, "Excellent ", Computed_insight___Success_of_active_sellers__2[[#This Row],[rating]]&gt;=4, "Good ", Computed_insight___Success_of_active_sellers__2[[#This Row],[rating]]&gt;=3.5, "Average", TRUE, "Poor ")</f>
        <v>Average</v>
      </c>
      <c r="Q626" s="2" t="str" cm="1">
        <f t="array" ref="Q62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26" s="2" t="str">
        <f>IF(Computed_insight___Success_of_active_sellers__2[[#This Row],[totalurgencycount]]&gt;0, "Has Banner", "No Banner")</f>
        <v>Has Banner</v>
      </c>
    </row>
    <row r="627" spans="1:18" x14ac:dyDescent="0.3">
      <c r="A627">
        <v>625</v>
      </c>
      <c r="B627" t="s">
        <v>382</v>
      </c>
      <c r="C627">
        <v>4</v>
      </c>
      <c r="D627">
        <v>400</v>
      </c>
      <c r="E627">
        <v>100</v>
      </c>
      <c r="F627">
        <v>4.1440000000000001</v>
      </c>
      <c r="G627">
        <v>1160</v>
      </c>
      <c r="H627">
        <v>9</v>
      </c>
      <c r="I627">
        <v>31.5</v>
      </c>
      <c r="J627">
        <v>64</v>
      </c>
      <c r="K627">
        <v>64</v>
      </c>
      <c r="L627">
        <v>38</v>
      </c>
      <c r="M627">
        <v>2</v>
      </c>
      <c r="N627">
        <v>50</v>
      </c>
      <c r="O627" s="2" t="str" cm="1">
        <f t="array" ref="O62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27" s="2" t="str" cm="1">
        <f t="array" ref="P627">_xlfn.IFS(Computed_insight___Success_of_active_sellers__2[[#This Row],[rating]]&gt;=4.5, "Excellent ", Computed_insight___Success_of_active_sellers__2[[#This Row],[rating]]&gt;=4, "Good ", Computed_insight___Success_of_active_sellers__2[[#This Row],[rating]]&gt;=3.5, "Average", TRUE, "Poor ")</f>
        <v xml:space="preserve">Good </v>
      </c>
      <c r="Q627" s="2" t="str" cm="1">
        <f t="array" ref="Q62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27" s="2" t="str">
        <f>IF(Computed_insight___Success_of_active_sellers__2[[#This Row],[totalurgencycount]]&gt;0, "Has Banner", "No Banner")</f>
        <v>Has Banner</v>
      </c>
    </row>
    <row r="628" spans="1:18" x14ac:dyDescent="0.3">
      <c r="A628">
        <v>626</v>
      </c>
      <c r="B628" t="s">
        <v>57</v>
      </c>
      <c r="C628">
        <v>5</v>
      </c>
      <c r="D628">
        <v>350</v>
      </c>
      <c r="E628">
        <v>70</v>
      </c>
      <c r="F628">
        <v>3.8740000000000001</v>
      </c>
      <c r="G628">
        <v>127</v>
      </c>
      <c r="H628">
        <v>7.2</v>
      </c>
      <c r="I628">
        <v>8.4</v>
      </c>
      <c r="J628">
        <v>12</v>
      </c>
      <c r="K628">
        <v>12</v>
      </c>
      <c r="L628">
        <v>4</v>
      </c>
      <c r="M628">
        <v>3</v>
      </c>
      <c r="N628">
        <v>60</v>
      </c>
      <c r="O628" s="2" t="str" cm="1">
        <f t="array" ref="O62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28" s="2" t="str" cm="1">
        <f t="array" ref="P628">_xlfn.IFS(Computed_insight___Success_of_active_sellers__2[[#This Row],[rating]]&gt;=4.5, "Excellent ", Computed_insight___Success_of_active_sellers__2[[#This Row],[rating]]&gt;=4, "Good ", Computed_insight___Success_of_active_sellers__2[[#This Row],[rating]]&gt;=3.5, "Average", TRUE, "Poor ")</f>
        <v>Average</v>
      </c>
      <c r="Q628" s="2" t="str" cm="1">
        <f t="array" ref="Q628">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628" s="2" t="str">
        <f>IF(Computed_insight___Success_of_active_sellers__2[[#This Row],[totalurgencycount]]&gt;0, "Has Banner", "No Banner")</f>
        <v>Has Banner</v>
      </c>
    </row>
    <row r="629" spans="1:18" x14ac:dyDescent="0.3">
      <c r="A629">
        <v>627</v>
      </c>
      <c r="B629" t="s">
        <v>657</v>
      </c>
      <c r="C629">
        <v>3</v>
      </c>
      <c r="D629">
        <v>300</v>
      </c>
      <c r="E629">
        <v>100</v>
      </c>
      <c r="F629">
        <v>3.625</v>
      </c>
      <c r="G629">
        <v>112</v>
      </c>
      <c r="H629">
        <v>6</v>
      </c>
      <c r="I629">
        <v>6</v>
      </c>
      <c r="J629">
        <v>0</v>
      </c>
      <c r="K629">
        <v>0</v>
      </c>
      <c r="L629">
        <v>5</v>
      </c>
      <c r="M629">
        <v>1</v>
      </c>
      <c r="N629">
        <v>33</v>
      </c>
      <c r="O629" s="2" t="str" cm="1">
        <f t="array" ref="O62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29" s="2" t="str" cm="1">
        <f t="array" ref="P629">_xlfn.IFS(Computed_insight___Success_of_active_sellers__2[[#This Row],[rating]]&gt;=4.5, "Excellent ", Computed_insight___Success_of_active_sellers__2[[#This Row],[rating]]&gt;=4, "Good ", Computed_insight___Success_of_active_sellers__2[[#This Row],[rating]]&gt;=3.5, "Average", TRUE, "Poor ")</f>
        <v>Average</v>
      </c>
      <c r="Q629" s="2" t="str" cm="1">
        <f t="array" ref="Q62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29" s="2" t="str">
        <f>IF(Computed_insight___Success_of_active_sellers__2[[#This Row],[totalurgencycount]]&gt;0, "Has Banner", "No Banner")</f>
        <v>Has Banner</v>
      </c>
    </row>
    <row r="630" spans="1:18" x14ac:dyDescent="0.3">
      <c r="A630">
        <v>628</v>
      </c>
      <c r="B630" t="s">
        <v>233</v>
      </c>
      <c r="C630">
        <v>3</v>
      </c>
      <c r="D630">
        <v>300</v>
      </c>
      <c r="E630">
        <v>100</v>
      </c>
      <c r="F630">
        <v>3.7320000000000002</v>
      </c>
      <c r="G630">
        <v>168</v>
      </c>
      <c r="H630">
        <v>11</v>
      </c>
      <c r="I630">
        <v>10</v>
      </c>
      <c r="J630">
        <v>-10</v>
      </c>
      <c r="K630">
        <v>-10</v>
      </c>
      <c r="L630">
        <v>45</v>
      </c>
      <c r="M630">
        <v>2</v>
      </c>
      <c r="N630">
        <v>67</v>
      </c>
      <c r="O630" s="2" t="str" cm="1">
        <f t="array" ref="O63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30" s="2" t="str" cm="1">
        <f t="array" ref="P630">_xlfn.IFS(Computed_insight___Success_of_active_sellers__2[[#This Row],[rating]]&gt;=4.5, "Excellent ", Computed_insight___Success_of_active_sellers__2[[#This Row],[rating]]&gt;=4, "Good ", Computed_insight___Success_of_active_sellers__2[[#This Row],[rating]]&gt;=3.5, "Average", TRUE, "Poor ")</f>
        <v>Average</v>
      </c>
      <c r="Q630" s="2" t="str" cm="1">
        <f t="array" ref="Q63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30" s="2" t="str">
        <f>IF(Computed_insight___Success_of_active_sellers__2[[#This Row],[totalurgencycount]]&gt;0, "Has Banner", "No Banner")</f>
        <v>Has Banner</v>
      </c>
    </row>
    <row r="631" spans="1:18" x14ac:dyDescent="0.3">
      <c r="A631">
        <v>629</v>
      </c>
      <c r="B631" t="s">
        <v>254</v>
      </c>
      <c r="C631">
        <v>3</v>
      </c>
      <c r="D631">
        <v>300</v>
      </c>
      <c r="E631">
        <v>100</v>
      </c>
      <c r="F631">
        <v>3.8839999999999999</v>
      </c>
      <c r="G631">
        <v>1050</v>
      </c>
      <c r="H631">
        <v>3</v>
      </c>
      <c r="I631">
        <v>3</v>
      </c>
      <c r="J631">
        <v>0</v>
      </c>
      <c r="K631">
        <v>0</v>
      </c>
      <c r="L631">
        <v>58</v>
      </c>
      <c r="M631">
        <v>2</v>
      </c>
      <c r="N631">
        <v>67</v>
      </c>
      <c r="O631" s="2" t="str" cm="1">
        <f t="array" ref="O63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31" s="2" t="str" cm="1">
        <f t="array" ref="P631">_xlfn.IFS(Computed_insight___Success_of_active_sellers__2[[#This Row],[rating]]&gt;=4.5, "Excellent ", Computed_insight___Success_of_active_sellers__2[[#This Row],[rating]]&gt;=4, "Good ", Computed_insight___Success_of_active_sellers__2[[#This Row],[rating]]&gt;=3.5, "Average", TRUE, "Poor ")</f>
        <v>Average</v>
      </c>
      <c r="Q631" s="2" t="str" cm="1">
        <f t="array" ref="Q63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31" s="2" t="str">
        <f>IF(Computed_insight___Success_of_active_sellers__2[[#This Row],[totalurgencycount]]&gt;0, "Has Banner", "No Banner")</f>
        <v>Has Banner</v>
      </c>
    </row>
    <row r="632" spans="1:18" x14ac:dyDescent="0.3">
      <c r="A632">
        <v>630</v>
      </c>
      <c r="B632" t="s">
        <v>869</v>
      </c>
      <c r="C632">
        <v>3</v>
      </c>
      <c r="D632">
        <v>300</v>
      </c>
      <c r="E632">
        <v>100</v>
      </c>
      <c r="F632">
        <v>3.988</v>
      </c>
      <c r="G632">
        <v>4080</v>
      </c>
      <c r="H632">
        <v>9.67</v>
      </c>
      <c r="I632">
        <v>25.33</v>
      </c>
      <c r="J632">
        <v>62</v>
      </c>
      <c r="K632">
        <v>62.33</v>
      </c>
      <c r="L632">
        <v>55</v>
      </c>
      <c r="M632">
        <v>2</v>
      </c>
      <c r="N632">
        <v>67</v>
      </c>
      <c r="O632" s="2" t="str" cm="1">
        <f t="array" ref="O63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32" s="2" t="str" cm="1">
        <f t="array" ref="P632">_xlfn.IFS(Computed_insight___Success_of_active_sellers__2[[#This Row],[rating]]&gt;=4.5, "Excellent ", Computed_insight___Success_of_active_sellers__2[[#This Row],[rating]]&gt;=4, "Good ", Computed_insight___Success_of_active_sellers__2[[#This Row],[rating]]&gt;=3.5, "Average", TRUE, "Poor ")</f>
        <v>Average</v>
      </c>
      <c r="Q632" s="2" t="str" cm="1">
        <f t="array" ref="Q63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32" s="2" t="str">
        <f>IF(Computed_insight___Success_of_active_sellers__2[[#This Row],[totalurgencycount]]&gt;0, "Has Banner", "No Banner")</f>
        <v>Has Banner</v>
      </c>
    </row>
    <row r="633" spans="1:18" x14ac:dyDescent="0.3">
      <c r="A633">
        <v>631</v>
      </c>
      <c r="B633" t="s">
        <v>185</v>
      </c>
      <c r="C633">
        <v>3</v>
      </c>
      <c r="D633">
        <v>300</v>
      </c>
      <c r="E633">
        <v>100</v>
      </c>
      <c r="F633">
        <v>4.0410000000000004</v>
      </c>
      <c r="G633">
        <v>4705</v>
      </c>
      <c r="H633">
        <v>6</v>
      </c>
      <c r="I633">
        <v>6</v>
      </c>
      <c r="J633">
        <v>0</v>
      </c>
      <c r="K633">
        <v>0</v>
      </c>
      <c r="L633">
        <v>27</v>
      </c>
      <c r="M633">
        <v>1</v>
      </c>
      <c r="N633">
        <v>33</v>
      </c>
      <c r="O633" s="2" t="str" cm="1">
        <f t="array" ref="O63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33" s="2" t="str" cm="1">
        <f t="array" ref="P633">_xlfn.IFS(Computed_insight___Success_of_active_sellers__2[[#This Row],[rating]]&gt;=4.5, "Excellent ", Computed_insight___Success_of_active_sellers__2[[#This Row],[rating]]&gt;=4, "Good ", Computed_insight___Success_of_active_sellers__2[[#This Row],[rating]]&gt;=3.5, "Average", TRUE, "Poor ")</f>
        <v xml:space="preserve">Good </v>
      </c>
      <c r="Q633" s="2" t="str" cm="1">
        <f t="array" ref="Q63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33" s="2" t="str">
        <f>IF(Computed_insight___Success_of_active_sellers__2[[#This Row],[totalurgencycount]]&gt;0, "Has Banner", "No Banner")</f>
        <v>Has Banner</v>
      </c>
    </row>
    <row r="634" spans="1:18" x14ac:dyDescent="0.3">
      <c r="A634">
        <v>632</v>
      </c>
      <c r="B634" t="s">
        <v>513</v>
      </c>
      <c r="C634">
        <v>3</v>
      </c>
      <c r="D634">
        <v>300</v>
      </c>
      <c r="E634">
        <v>100</v>
      </c>
      <c r="F634">
        <v>4.0490000000000004</v>
      </c>
      <c r="G634">
        <v>9940</v>
      </c>
      <c r="H634">
        <v>13.67</v>
      </c>
      <c r="I634">
        <v>101</v>
      </c>
      <c r="J634">
        <v>85</v>
      </c>
      <c r="K634">
        <v>85.33</v>
      </c>
      <c r="L634">
        <v>29</v>
      </c>
      <c r="M634">
        <v>1</v>
      </c>
      <c r="N634">
        <v>33</v>
      </c>
      <c r="O634" s="2" t="str" cm="1">
        <f t="array" ref="O63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34" s="2" t="str" cm="1">
        <f t="array" ref="P634">_xlfn.IFS(Computed_insight___Success_of_active_sellers__2[[#This Row],[rating]]&gt;=4.5, "Excellent ", Computed_insight___Success_of_active_sellers__2[[#This Row],[rating]]&gt;=4, "Good ", Computed_insight___Success_of_active_sellers__2[[#This Row],[rating]]&gt;=3.5, "Average", TRUE, "Poor ")</f>
        <v xml:space="preserve">Good </v>
      </c>
      <c r="Q634" s="2" t="str" cm="1">
        <f t="array" ref="Q63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34" s="2" t="str">
        <f>IF(Computed_insight___Success_of_active_sellers__2[[#This Row],[totalurgencycount]]&gt;0, "Has Banner", "No Banner")</f>
        <v>Has Banner</v>
      </c>
    </row>
    <row r="635" spans="1:18" x14ac:dyDescent="0.3">
      <c r="A635">
        <v>633</v>
      </c>
      <c r="B635" t="s">
        <v>133</v>
      </c>
      <c r="C635">
        <v>3</v>
      </c>
      <c r="D635">
        <v>300</v>
      </c>
      <c r="E635">
        <v>100</v>
      </c>
      <c r="F635">
        <v>4.1550000000000002</v>
      </c>
      <c r="G635">
        <v>483</v>
      </c>
      <c r="H635">
        <v>7</v>
      </c>
      <c r="I635">
        <v>6</v>
      </c>
      <c r="J635">
        <v>-16</v>
      </c>
      <c r="K635">
        <v>-16</v>
      </c>
      <c r="L635">
        <v>25</v>
      </c>
      <c r="M635">
        <v>1</v>
      </c>
      <c r="N635">
        <v>33</v>
      </c>
      <c r="O635" s="2" t="str" cm="1">
        <f t="array" ref="O63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35" s="2" t="str" cm="1">
        <f t="array" ref="P635">_xlfn.IFS(Computed_insight___Success_of_active_sellers__2[[#This Row],[rating]]&gt;=4.5, "Excellent ", Computed_insight___Success_of_active_sellers__2[[#This Row],[rating]]&gt;=4, "Good ", Computed_insight___Success_of_active_sellers__2[[#This Row],[rating]]&gt;=3.5, "Average", TRUE, "Poor ")</f>
        <v xml:space="preserve">Good </v>
      </c>
      <c r="Q635" s="2" t="str" cm="1">
        <f t="array" ref="Q63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35" s="2" t="str">
        <f>IF(Computed_insight___Success_of_active_sellers__2[[#This Row],[totalurgencycount]]&gt;0, "Has Banner", "No Banner")</f>
        <v>Has Banner</v>
      </c>
    </row>
    <row r="636" spans="1:18" x14ac:dyDescent="0.3">
      <c r="A636">
        <v>634</v>
      </c>
      <c r="B636" t="s">
        <v>219</v>
      </c>
      <c r="C636">
        <v>3</v>
      </c>
      <c r="D636">
        <v>300</v>
      </c>
      <c r="E636">
        <v>100</v>
      </c>
      <c r="F636">
        <v>4.1559999999999997</v>
      </c>
      <c r="G636">
        <v>885</v>
      </c>
      <c r="H636">
        <v>9.24</v>
      </c>
      <c r="I636">
        <v>8.33</v>
      </c>
      <c r="J636">
        <v>-11</v>
      </c>
      <c r="K636">
        <v>-11.33</v>
      </c>
      <c r="L636">
        <v>11</v>
      </c>
      <c r="M636">
        <v>1</v>
      </c>
      <c r="N636">
        <v>33</v>
      </c>
      <c r="O636" s="2" t="str" cm="1">
        <f t="array" ref="O63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36" s="2" t="str" cm="1">
        <f t="array" ref="P636">_xlfn.IFS(Computed_insight___Success_of_active_sellers__2[[#This Row],[rating]]&gt;=4.5, "Excellent ", Computed_insight___Success_of_active_sellers__2[[#This Row],[rating]]&gt;=4, "Good ", Computed_insight___Success_of_active_sellers__2[[#This Row],[rating]]&gt;=3.5, "Average", TRUE, "Poor ")</f>
        <v xml:space="preserve">Good </v>
      </c>
      <c r="Q636" s="2" t="str" cm="1">
        <f t="array" ref="Q63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36" s="2" t="str">
        <f>IF(Computed_insight___Success_of_active_sellers__2[[#This Row],[totalurgencycount]]&gt;0, "Has Banner", "No Banner")</f>
        <v>Has Banner</v>
      </c>
    </row>
    <row r="637" spans="1:18" x14ac:dyDescent="0.3">
      <c r="A637">
        <v>635</v>
      </c>
      <c r="B637" t="s">
        <v>65</v>
      </c>
      <c r="C637">
        <v>3</v>
      </c>
      <c r="D637">
        <v>300</v>
      </c>
      <c r="E637">
        <v>100</v>
      </c>
      <c r="F637">
        <v>4.1680000000000001</v>
      </c>
      <c r="G637">
        <v>4856</v>
      </c>
      <c r="H637">
        <v>3.33</v>
      </c>
      <c r="I637">
        <v>8.33</v>
      </c>
      <c r="J637">
        <v>57</v>
      </c>
      <c r="K637">
        <v>57</v>
      </c>
      <c r="L637">
        <v>33</v>
      </c>
      <c r="O637" s="2" t="str" cm="1">
        <f t="array" ref="O63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37" s="2" t="str" cm="1">
        <f t="array" ref="P637">_xlfn.IFS(Computed_insight___Success_of_active_sellers__2[[#This Row],[rating]]&gt;=4.5, "Excellent ", Computed_insight___Success_of_active_sellers__2[[#This Row],[rating]]&gt;=4, "Good ", Computed_insight___Success_of_active_sellers__2[[#This Row],[rating]]&gt;=3.5, "Average", TRUE, "Poor ")</f>
        <v xml:space="preserve">Good </v>
      </c>
      <c r="Q637" s="2" t="str" cm="1">
        <f t="array" ref="Q63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37" s="2" t="str">
        <f>IF(Computed_insight___Success_of_active_sellers__2[[#This Row],[totalurgencycount]]&gt;0, "Has Banner", "No Banner")</f>
        <v>No Banner</v>
      </c>
    </row>
    <row r="638" spans="1:18" x14ac:dyDescent="0.3">
      <c r="A638">
        <v>636</v>
      </c>
      <c r="B638" t="s">
        <v>171</v>
      </c>
      <c r="C638">
        <v>4</v>
      </c>
      <c r="D638">
        <v>300</v>
      </c>
      <c r="E638">
        <v>75</v>
      </c>
      <c r="F638">
        <v>3.7909999999999999</v>
      </c>
      <c r="G638">
        <v>129</v>
      </c>
      <c r="H638">
        <v>8</v>
      </c>
      <c r="I638">
        <v>8.5</v>
      </c>
      <c r="J638">
        <v>3</v>
      </c>
      <c r="K638">
        <v>3</v>
      </c>
      <c r="L638">
        <v>9</v>
      </c>
      <c r="M638">
        <v>2</v>
      </c>
      <c r="N638">
        <v>50</v>
      </c>
      <c r="O638" s="2" t="str" cm="1">
        <f t="array" ref="O63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38" s="2" t="str" cm="1">
        <f t="array" ref="P638">_xlfn.IFS(Computed_insight___Success_of_active_sellers__2[[#This Row],[rating]]&gt;=4.5, "Excellent ", Computed_insight___Success_of_active_sellers__2[[#This Row],[rating]]&gt;=4, "Good ", Computed_insight___Success_of_active_sellers__2[[#This Row],[rating]]&gt;=3.5, "Average", TRUE, "Poor ")</f>
        <v>Average</v>
      </c>
      <c r="Q638" s="2" t="str" cm="1">
        <f t="array" ref="Q638">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638" s="2" t="str">
        <f>IF(Computed_insight___Success_of_active_sellers__2[[#This Row],[totalurgencycount]]&gt;0, "Has Banner", "No Banner")</f>
        <v>Has Banner</v>
      </c>
    </row>
    <row r="639" spans="1:18" x14ac:dyDescent="0.3">
      <c r="A639">
        <v>637</v>
      </c>
      <c r="B639" t="s">
        <v>455</v>
      </c>
      <c r="C639">
        <v>4</v>
      </c>
      <c r="D639">
        <v>300</v>
      </c>
      <c r="E639">
        <v>75</v>
      </c>
      <c r="F639">
        <v>4.0359999999999996</v>
      </c>
      <c r="G639">
        <v>28</v>
      </c>
      <c r="H639">
        <v>4.5</v>
      </c>
      <c r="I639">
        <v>4.5</v>
      </c>
      <c r="J639">
        <v>0</v>
      </c>
      <c r="K639">
        <v>0</v>
      </c>
      <c r="L639">
        <v>3</v>
      </c>
      <c r="M639">
        <v>2</v>
      </c>
      <c r="N639">
        <v>50</v>
      </c>
      <c r="O639" s="2" t="str" cm="1">
        <f t="array" ref="O63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39" s="2" t="str" cm="1">
        <f t="array" ref="P639">_xlfn.IFS(Computed_insight___Success_of_active_sellers__2[[#This Row],[rating]]&gt;=4.5, "Excellent ", Computed_insight___Success_of_active_sellers__2[[#This Row],[rating]]&gt;=4, "Good ", Computed_insight___Success_of_active_sellers__2[[#This Row],[rating]]&gt;=3.5, "Average", TRUE, "Poor ")</f>
        <v xml:space="preserve">Good </v>
      </c>
      <c r="Q639" s="2" t="str" cm="1">
        <f t="array" ref="Q63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39" s="2" t="str">
        <f>IF(Computed_insight___Success_of_active_sellers__2[[#This Row],[totalurgencycount]]&gt;0, "Has Banner", "No Banner")</f>
        <v>Has Banner</v>
      </c>
    </row>
    <row r="640" spans="1:18" x14ac:dyDescent="0.3">
      <c r="A640">
        <v>638</v>
      </c>
      <c r="B640" t="s">
        <v>267</v>
      </c>
      <c r="C640">
        <v>3</v>
      </c>
      <c r="D640">
        <v>250</v>
      </c>
      <c r="E640">
        <v>83</v>
      </c>
      <c r="F640">
        <v>3.5449999999999999</v>
      </c>
      <c r="G640">
        <v>211</v>
      </c>
      <c r="H640">
        <v>8</v>
      </c>
      <c r="I640">
        <v>7</v>
      </c>
      <c r="J640">
        <v>-14</v>
      </c>
      <c r="K640">
        <v>-14</v>
      </c>
      <c r="L640">
        <v>6</v>
      </c>
      <c r="M640">
        <v>1</v>
      </c>
      <c r="N640">
        <v>33</v>
      </c>
      <c r="O640" s="2" t="str" cm="1">
        <f t="array" ref="O64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40" s="2" t="str" cm="1">
        <f t="array" ref="P640">_xlfn.IFS(Computed_insight___Success_of_active_sellers__2[[#This Row],[rating]]&gt;=4.5, "Excellent ", Computed_insight___Success_of_active_sellers__2[[#This Row],[rating]]&gt;=4, "Good ", Computed_insight___Success_of_active_sellers__2[[#This Row],[rating]]&gt;=3.5, "Average", TRUE, "Poor ")</f>
        <v>Average</v>
      </c>
      <c r="Q640" s="2" t="str" cm="1">
        <f t="array" ref="Q64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40" s="2" t="str">
        <f>IF(Computed_insight___Success_of_active_sellers__2[[#This Row],[totalurgencycount]]&gt;0, "Has Banner", "No Banner")</f>
        <v>Has Banner</v>
      </c>
    </row>
    <row r="641" spans="1:18" x14ac:dyDescent="0.3">
      <c r="A641">
        <v>639</v>
      </c>
      <c r="B641" t="s">
        <v>163</v>
      </c>
      <c r="C641">
        <v>2</v>
      </c>
      <c r="D641">
        <v>200</v>
      </c>
      <c r="E641">
        <v>100</v>
      </c>
      <c r="F641">
        <v>3.1859999999999999</v>
      </c>
      <c r="G641">
        <v>43</v>
      </c>
      <c r="H641">
        <v>8</v>
      </c>
      <c r="I641">
        <v>26</v>
      </c>
      <c r="J641">
        <v>70</v>
      </c>
      <c r="K641">
        <v>70</v>
      </c>
      <c r="L641">
        <v>14</v>
      </c>
      <c r="M641">
        <v>1</v>
      </c>
      <c r="N641">
        <v>50</v>
      </c>
      <c r="O641" s="2" t="str" cm="1">
        <f t="array" ref="O64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41" s="2" t="str" cm="1">
        <f t="array" ref="P641">_xlfn.IFS(Computed_insight___Success_of_active_sellers__2[[#This Row],[rating]]&gt;=4.5, "Excellent ", Computed_insight___Success_of_active_sellers__2[[#This Row],[rating]]&gt;=4, "Good ", Computed_insight___Success_of_active_sellers__2[[#This Row],[rating]]&gt;=3.5, "Average", TRUE, "Poor ")</f>
        <v xml:space="preserve">Poor </v>
      </c>
      <c r="Q641" s="2" t="str" cm="1">
        <f t="array" ref="Q64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41" s="2" t="str">
        <f>IF(Computed_insight___Success_of_active_sellers__2[[#This Row],[totalurgencycount]]&gt;0, "Has Banner", "No Banner")</f>
        <v>Has Banner</v>
      </c>
    </row>
    <row r="642" spans="1:18" x14ac:dyDescent="0.3">
      <c r="A642">
        <v>640</v>
      </c>
      <c r="B642" t="s">
        <v>676</v>
      </c>
      <c r="C642">
        <v>2</v>
      </c>
      <c r="D642">
        <v>200</v>
      </c>
      <c r="E642">
        <v>100</v>
      </c>
      <c r="F642">
        <v>3.1880000000000002</v>
      </c>
      <c r="G642">
        <v>32</v>
      </c>
      <c r="H642">
        <v>7</v>
      </c>
      <c r="I642">
        <v>26</v>
      </c>
      <c r="J642">
        <v>74</v>
      </c>
      <c r="K642">
        <v>74</v>
      </c>
      <c r="L642">
        <v>10</v>
      </c>
      <c r="O642" s="2" t="str" cm="1">
        <f t="array" ref="O64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42" s="2" t="str" cm="1">
        <f t="array" ref="P642">_xlfn.IFS(Computed_insight___Success_of_active_sellers__2[[#This Row],[rating]]&gt;=4.5, "Excellent ", Computed_insight___Success_of_active_sellers__2[[#This Row],[rating]]&gt;=4, "Good ", Computed_insight___Success_of_active_sellers__2[[#This Row],[rating]]&gt;=3.5, "Average", TRUE, "Poor ")</f>
        <v xml:space="preserve">Poor </v>
      </c>
      <c r="Q642" s="2" t="str" cm="1">
        <f t="array" ref="Q64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42" s="2" t="str">
        <f>IF(Computed_insight___Success_of_active_sellers__2[[#This Row],[totalurgencycount]]&gt;0, "Has Banner", "No Banner")</f>
        <v>No Banner</v>
      </c>
    </row>
    <row r="643" spans="1:18" x14ac:dyDescent="0.3">
      <c r="A643">
        <v>641</v>
      </c>
      <c r="B643" t="s">
        <v>471</v>
      </c>
      <c r="C643">
        <v>2</v>
      </c>
      <c r="D643">
        <v>200</v>
      </c>
      <c r="E643">
        <v>100</v>
      </c>
      <c r="F643">
        <v>3.3820000000000001</v>
      </c>
      <c r="G643">
        <v>364</v>
      </c>
      <c r="H643">
        <v>11</v>
      </c>
      <c r="I643">
        <v>10</v>
      </c>
      <c r="J643">
        <v>-10</v>
      </c>
      <c r="K643">
        <v>-10</v>
      </c>
      <c r="L643">
        <v>45</v>
      </c>
      <c r="M643">
        <v>1</v>
      </c>
      <c r="N643">
        <v>50</v>
      </c>
      <c r="O643" s="2" t="str" cm="1">
        <f t="array" ref="O64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43" s="2" t="str" cm="1">
        <f t="array" ref="P643">_xlfn.IFS(Computed_insight___Success_of_active_sellers__2[[#This Row],[rating]]&gt;=4.5, "Excellent ", Computed_insight___Success_of_active_sellers__2[[#This Row],[rating]]&gt;=4, "Good ", Computed_insight___Success_of_active_sellers__2[[#This Row],[rating]]&gt;=3.5, "Average", TRUE, "Poor ")</f>
        <v xml:space="preserve">Poor </v>
      </c>
      <c r="Q643" s="2" t="str" cm="1">
        <f t="array" ref="Q64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43" s="2" t="str">
        <f>IF(Computed_insight___Success_of_active_sellers__2[[#This Row],[totalurgencycount]]&gt;0, "Has Banner", "No Banner")</f>
        <v>Has Banner</v>
      </c>
    </row>
    <row r="644" spans="1:18" x14ac:dyDescent="0.3">
      <c r="A644">
        <v>642</v>
      </c>
      <c r="B644" t="s">
        <v>304</v>
      </c>
      <c r="C644">
        <v>2</v>
      </c>
      <c r="D644">
        <v>200</v>
      </c>
      <c r="E644">
        <v>100</v>
      </c>
      <c r="F644">
        <v>3.4089999999999998</v>
      </c>
      <c r="G644">
        <v>359</v>
      </c>
      <c r="H644">
        <v>3.7</v>
      </c>
      <c r="I644">
        <v>47</v>
      </c>
      <c r="J644">
        <v>93</v>
      </c>
      <c r="K644">
        <v>93</v>
      </c>
      <c r="L644">
        <v>11</v>
      </c>
      <c r="M644">
        <v>1</v>
      </c>
      <c r="N644">
        <v>50</v>
      </c>
      <c r="O644" s="2" t="str" cm="1">
        <f t="array" ref="O64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44" s="2" t="str" cm="1">
        <f t="array" ref="P644">_xlfn.IFS(Computed_insight___Success_of_active_sellers__2[[#This Row],[rating]]&gt;=4.5, "Excellent ", Computed_insight___Success_of_active_sellers__2[[#This Row],[rating]]&gt;=4, "Good ", Computed_insight___Success_of_active_sellers__2[[#This Row],[rating]]&gt;=3.5, "Average", TRUE, "Poor ")</f>
        <v xml:space="preserve">Poor </v>
      </c>
      <c r="Q644" s="2" t="str" cm="1">
        <f t="array" ref="Q64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44" s="2" t="str">
        <f>IF(Computed_insight___Success_of_active_sellers__2[[#This Row],[totalurgencycount]]&gt;0, "Has Banner", "No Banner")</f>
        <v>Has Banner</v>
      </c>
    </row>
    <row r="645" spans="1:18" x14ac:dyDescent="0.3">
      <c r="A645">
        <v>643</v>
      </c>
      <c r="B645" t="s">
        <v>227</v>
      </c>
      <c r="C645">
        <v>2</v>
      </c>
      <c r="D645">
        <v>200</v>
      </c>
      <c r="E645">
        <v>100</v>
      </c>
      <c r="F645">
        <v>3.5350000000000001</v>
      </c>
      <c r="G645">
        <v>1472</v>
      </c>
      <c r="H645">
        <v>9</v>
      </c>
      <c r="I645">
        <v>34</v>
      </c>
      <c r="J645">
        <v>74</v>
      </c>
      <c r="K645">
        <v>74</v>
      </c>
      <c r="L645">
        <v>28</v>
      </c>
      <c r="M645">
        <v>1</v>
      </c>
      <c r="N645">
        <v>50</v>
      </c>
      <c r="O645" s="2" t="str" cm="1">
        <f t="array" ref="O64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45" s="2" t="str" cm="1">
        <f t="array" ref="P645">_xlfn.IFS(Computed_insight___Success_of_active_sellers__2[[#This Row],[rating]]&gt;=4.5, "Excellent ", Computed_insight___Success_of_active_sellers__2[[#This Row],[rating]]&gt;=4, "Good ", Computed_insight___Success_of_active_sellers__2[[#This Row],[rating]]&gt;=3.5, "Average", TRUE, "Poor ")</f>
        <v>Average</v>
      </c>
      <c r="Q645" s="2" t="str" cm="1">
        <f t="array" ref="Q64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45" s="2" t="str">
        <f>IF(Computed_insight___Success_of_active_sellers__2[[#This Row],[totalurgencycount]]&gt;0, "Has Banner", "No Banner")</f>
        <v>Has Banner</v>
      </c>
    </row>
    <row r="646" spans="1:18" x14ac:dyDescent="0.3">
      <c r="A646">
        <v>644</v>
      </c>
      <c r="B646" t="s">
        <v>183</v>
      </c>
      <c r="C646">
        <v>2</v>
      </c>
      <c r="D646">
        <v>200</v>
      </c>
      <c r="E646">
        <v>100</v>
      </c>
      <c r="F646">
        <v>3.581</v>
      </c>
      <c r="G646">
        <v>31</v>
      </c>
      <c r="H646">
        <v>8</v>
      </c>
      <c r="I646">
        <v>11</v>
      </c>
      <c r="J646">
        <v>28</v>
      </c>
      <c r="K646">
        <v>28</v>
      </c>
      <c r="L646">
        <v>21</v>
      </c>
      <c r="M646">
        <v>1</v>
      </c>
      <c r="N646">
        <v>50</v>
      </c>
      <c r="O646" s="2" t="str" cm="1">
        <f t="array" ref="O64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46" s="2" t="str" cm="1">
        <f t="array" ref="P646">_xlfn.IFS(Computed_insight___Success_of_active_sellers__2[[#This Row],[rating]]&gt;=4.5, "Excellent ", Computed_insight___Success_of_active_sellers__2[[#This Row],[rating]]&gt;=4, "Good ", Computed_insight___Success_of_active_sellers__2[[#This Row],[rating]]&gt;=3.5, "Average", TRUE, "Poor ")</f>
        <v>Average</v>
      </c>
      <c r="Q646" s="2" t="str" cm="1">
        <f t="array" ref="Q646">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646" s="2" t="str">
        <f>IF(Computed_insight___Success_of_active_sellers__2[[#This Row],[totalurgencycount]]&gt;0, "Has Banner", "No Banner")</f>
        <v>Has Banner</v>
      </c>
    </row>
    <row r="647" spans="1:18" x14ac:dyDescent="0.3">
      <c r="A647">
        <v>645</v>
      </c>
      <c r="B647" t="s">
        <v>271</v>
      </c>
      <c r="C647">
        <v>2</v>
      </c>
      <c r="D647">
        <v>200</v>
      </c>
      <c r="E647">
        <v>100</v>
      </c>
      <c r="F647">
        <v>3.6589999999999998</v>
      </c>
      <c r="G647">
        <v>138</v>
      </c>
      <c r="H647">
        <v>8</v>
      </c>
      <c r="I647">
        <v>26</v>
      </c>
      <c r="J647">
        <v>70</v>
      </c>
      <c r="K647">
        <v>70</v>
      </c>
      <c r="L647">
        <v>13</v>
      </c>
      <c r="M647">
        <v>1</v>
      </c>
      <c r="N647">
        <v>50</v>
      </c>
      <c r="O647" s="2" t="str" cm="1">
        <f t="array" ref="O64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47" s="2" t="str" cm="1">
        <f t="array" ref="P647">_xlfn.IFS(Computed_insight___Success_of_active_sellers__2[[#This Row],[rating]]&gt;=4.5, "Excellent ", Computed_insight___Success_of_active_sellers__2[[#This Row],[rating]]&gt;=4, "Good ", Computed_insight___Success_of_active_sellers__2[[#This Row],[rating]]&gt;=3.5, "Average", TRUE, "Poor ")</f>
        <v>Average</v>
      </c>
      <c r="Q647" s="2" t="str" cm="1">
        <f t="array" ref="Q64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47" s="2" t="str">
        <f>IF(Computed_insight___Success_of_active_sellers__2[[#This Row],[totalurgencycount]]&gt;0, "Has Banner", "No Banner")</f>
        <v>Has Banner</v>
      </c>
    </row>
    <row r="648" spans="1:18" x14ac:dyDescent="0.3">
      <c r="A648">
        <v>646</v>
      </c>
      <c r="B648" t="s">
        <v>144</v>
      </c>
      <c r="C648">
        <v>2</v>
      </c>
      <c r="D648">
        <v>200</v>
      </c>
      <c r="E648">
        <v>100</v>
      </c>
      <c r="F648">
        <v>3.6669999999999998</v>
      </c>
      <c r="G648">
        <v>18</v>
      </c>
      <c r="H648">
        <v>11</v>
      </c>
      <c r="I648">
        <v>16</v>
      </c>
      <c r="J648">
        <v>32</v>
      </c>
      <c r="K648">
        <v>32</v>
      </c>
      <c r="L648">
        <v>12</v>
      </c>
      <c r="M648">
        <v>1</v>
      </c>
      <c r="N648">
        <v>50</v>
      </c>
      <c r="O648" s="2" t="str" cm="1">
        <f t="array" ref="O64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48" s="2" t="str" cm="1">
        <f t="array" ref="P648">_xlfn.IFS(Computed_insight___Success_of_active_sellers__2[[#This Row],[rating]]&gt;=4.5, "Excellent ", Computed_insight___Success_of_active_sellers__2[[#This Row],[rating]]&gt;=4, "Good ", Computed_insight___Success_of_active_sellers__2[[#This Row],[rating]]&gt;=3.5, "Average", TRUE, "Poor ")</f>
        <v>Average</v>
      </c>
      <c r="Q648" s="2" t="str" cm="1">
        <f t="array" ref="Q648">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648" s="2" t="str">
        <f>IF(Computed_insight___Success_of_active_sellers__2[[#This Row],[totalurgencycount]]&gt;0, "Has Banner", "No Banner")</f>
        <v>Has Banner</v>
      </c>
    </row>
    <row r="649" spans="1:18" x14ac:dyDescent="0.3">
      <c r="A649">
        <v>647</v>
      </c>
      <c r="B649" t="s">
        <v>747</v>
      </c>
      <c r="C649">
        <v>2</v>
      </c>
      <c r="D649">
        <v>200</v>
      </c>
      <c r="E649">
        <v>100</v>
      </c>
      <c r="F649">
        <v>3.7080000000000002</v>
      </c>
      <c r="G649">
        <v>1279</v>
      </c>
      <c r="H649">
        <v>11</v>
      </c>
      <c r="I649">
        <v>17</v>
      </c>
      <c r="J649">
        <v>36</v>
      </c>
      <c r="K649">
        <v>36</v>
      </c>
      <c r="L649">
        <v>3</v>
      </c>
      <c r="M649">
        <v>1</v>
      </c>
      <c r="N649">
        <v>50</v>
      </c>
      <c r="O649" s="2" t="str" cm="1">
        <f t="array" ref="O64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49" s="2" t="str" cm="1">
        <f t="array" ref="P649">_xlfn.IFS(Computed_insight___Success_of_active_sellers__2[[#This Row],[rating]]&gt;=4.5, "Excellent ", Computed_insight___Success_of_active_sellers__2[[#This Row],[rating]]&gt;=4, "Good ", Computed_insight___Success_of_active_sellers__2[[#This Row],[rating]]&gt;=3.5, "Average", TRUE, "Poor ")</f>
        <v>Average</v>
      </c>
      <c r="Q649" s="2" t="str" cm="1">
        <f t="array" ref="Q649">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649" s="2" t="str">
        <f>IF(Computed_insight___Success_of_active_sellers__2[[#This Row],[totalurgencycount]]&gt;0, "Has Banner", "No Banner")</f>
        <v>Has Banner</v>
      </c>
    </row>
    <row r="650" spans="1:18" x14ac:dyDescent="0.3">
      <c r="A650">
        <v>648</v>
      </c>
      <c r="B650" t="s">
        <v>866</v>
      </c>
      <c r="C650">
        <v>2</v>
      </c>
      <c r="D650">
        <v>200</v>
      </c>
      <c r="E650">
        <v>100</v>
      </c>
      <c r="F650">
        <v>3.766</v>
      </c>
      <c r="G650">
        <v>231</v>
      </c>
      <c r="H650">
        <v>8</v>
      </c>
      <c r="I650">
        <v>59</v>
      </c>
      <c r="J650">
        <v>87</v>
      </c>
      <c r="K650">
        <v>87</v>
      </c>
      <c r="L650">
        <v>114</v>
      </c>
      <c r="M650">
        <v>1</v>
      </c>
      <c r="N650">
        <v>50</v>
      </c>
      <c r="O650" s="2" t="str" cm="1">
        <f t="array" ref="O65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50" s="2" t="str" cm="1">
        <f t="array" ref="P650">_xlfn.IFS(Computed_insight___Success_of_active_sellers__2[[#This Row],[rating]]&gt;=4.5, "Excellent ", Computed_insight___Success_of_active_sellers__2[[#This Row],[rating]]&gt;=4, "Good ", Computed_insight___Success_of_active_sellers__2[[#This Row],[rating]]&gt;=3.5, "Average", TRUE, "Poor ")</f>
        <v>Average</v>
      </c>
      <c r="Q650" s="2" t="str" cm="1">
        <f t="array" ref="Q65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50" s="2" t="str">
        <f>IF(Computed_insight___Success_of_active_sellers__2[[#This Row],[totalurgencycount]]&gt;0, "Has Banner", "No Banner")</f>
        <v>Has Banner</v>
      </c>
    </row>
    <row r="651" spans="1:18" x14ac:dyDescent="0.3">
      <c r="A651">
        <v>649</v>
      </c>
      <c r="B651" t="s">
        <v>143</v>
      </c>
      <c r="C651">
        <v>2</v>
      </c>
      <c r="D651">
        <v>200</v>
      </c>
      <c r="E651">
        <v>100</v>
      </c>
      <c r="F651">
        <v>3.774</v>
      </c>
      <c r="G651">
        <v>31</v>
      </c>
      <c r="H651">
        <v>13</v>
      </c>
      <c r="I651">
        <v>11</v>
      </c>
      <c r="J651">
        <v>-18</v>
      </c>
      <c r="K651">
        <v>-18</v>
      </c>
      <c r="L651">
        <v>2</v>
      </c>
      <c r="M651">
        <v>1</v>
      </c>
      <c r="N651">
        <v>50</v>
      </c>
      <c r="O651" s="2" t="str" cm="1">
        <f t="array" ref="O65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51" s="2" t="str" cm="1">
        <f t="array" ref="P651">_xlfn.IFS(Computed_insight___Success_of_active_sellers__2[[#This Row],[rating]]&gt;=4.5, "Excellent ", Computed_insight___Success_of_active_sellers__2[[#This Row],[rating]]&gt;=4, "Good ", Computed_insight___Success_of_active_sellers__2[[#This Row],[rating]]&gt;=3.5, "Average", TRUE, "Poor ")</f>
        <v>Average</v>
      </c>
      <c r="Q651" s="2" t="str" cm="1">
        <f t="array" ref="Q65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51" s="2" t="str">
        <f>IF(Computed_insight___Success_of_active_sellers__2[[#This Row],[totalurgencycount]]&gt;0, "Has Banner", "No Banner")</f>
        <v>Has Banner</v>
      </c>
    </row>
    <row r="652" spans="1:18" x14ac:dyDescent="0.3">
      <c r="A652">
        <v>650</v>
      </c>
      <c r="B652" t="s">
        <v>275</v>
      </c>
      <c r="C652">
        <v>2</v>
      </c>
      <c r="D652">
        <v>200</v>
      </c>
      <c r="E652">
        <v>100</v>
      </c>
      <c r="F652">
        <v>3.786</v>
      </c>
      <c r="G652">
        <v>117</v>
      </c>
      <c r="H652">
        <v>8</v>
      </c>
      <c r="I652">
        <v>10</v>
      </c>
      <c r="J652">
        <v>20</v>
      </c>
      <c r="K652">
        <v>20</v>
      </c>
      <c r="L652">
        <v>6</v>
      </c>
      <c r="M652">
        <v>1</v>
      </c>
      <c r="N652">
        <v>50</v>
      </c>
      <c r="O652" s="2" t="str" cm="1">
        <f t="array" ref="O65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52" s="2" t="str" cm="1">
        <f t="array" ref="P652">_xlfn.IFS(Computed_insight___Success_of_active_sellers__2[[#This Row],[rating]]&gt;=4.5, "Excellent ", Computed_insight___Success_of_active_sellers__2[[#This Row],[rating]]&gt;=4, "Good ", Computed_insight___Success_of_active_sellers__2[[#This Row],[rating]]&gt;=3.5, "Average", TRUE, "Poor ")</f>
        <v>Average</v>
      </c>
      <c r="Q652" s="2" t="str" cm="1">
        <f t="array" ref="Q652">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652" s="2" t="str">
        <f>IF(Computed_insight___Success_of_active_sellers__2[[#This Row],[totalurgencycount]]&gt;0, "Has Banner", "No Banner")</f>
        <v>Has Banner</v>
      </c>
    </row>
    <row r="653" spans="1:18" x14ac:dyDescent="0.3">
      <c r="A653">
        <v>651</v>
      </c>
      <c r="B653" t="s">
        <v>87</v>
      </c>
      <c r="C653">
        <v>2</v>
      </c>
      <c r="D653">
        <v>200</v>
      </c>
      <c r="E653">
        <v>100</v>
      </c>
      <c r="F653">
        <v>3.8330000000000002</v>
      </c>
      <c r="G653">
        <v>5846</v>
      </c>
      <c r="H653">
        <v>8</v>
      </c>
      <c r="I653">
        <v>51</v>
      </c>
      <c r="J653">
        <v>85</v>
      </c>
      <c r="K653">
        <v>85</v>
      </c>
      <c r="L653">
        <v>31</v>
      </c>
      <c r="O653" s="2" t="str" cm="1">
        <f t="array" ref="O65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53" s="2" t="str" cm="1">
        <f t="array" ref="P653">_xlfn.IFS(Computed_insight___Success_of_active_sellers__2[[#This Row],[rating]]&gt;=4.5, "Excellent ", Computed_insight___Success_of_active_sellers__2[[#This Row],[rating]]&gt;=4, "Good ", Computed_insight___Success_of_active_sellers__2[[#This Row],[rating]]&gt;=3.5, "Average", TRUE, "Poor ")</f>
        <v>Average</v>
      </c>
      <c r="Q653" s="2" t="str" cm="1">
        <f t="array" ref="Q65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53" s="2" t="str">
        <f>IF(Computed_insight___Success_of_active_sellers__2[[#This Row],[totalurgencycount]]&gt;0, "Has Banner", "No Banner")</f>
        <v>No Banner</v>
      </c>
    </row>
    <row r="654" spans="1:18" x14ac:dyDescent="0.3">
      <c r="A654">
        <v>652</v>
      </c>
      <c r="B654" t="s">
        <v>499</v>
      </c>
      <c r="C654">
        <v>2</v>
      </c>
      <c r="D654">
        <v>200</v>
      </c>
      <c r="E654">
        <v>100</v>
      </c>
      <c r="F654">
        <v>3.84</v>
      </c>
      <c r="G654">
        <v>16215</v>
      </c>
      <c r="H654">
        <v>5</v>
      </c>
      <c r="I654">
        <v>30</v>
      </c>
      <c r="J654">
        <v>84</v>
      </c>
      <c r="K654">
        <v>84</v>
      </c>
      <c r="L654">
        <v>13</v>
      </c>
      <c r="M654">
        <v>1</v>
      </c>
      <c r="N654">
        <v>50</v>
      </c>
      <c r="O654" s="2" t="str" cm="1">
        <f t="array" ref="O65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54" s="2" t="str" cm="1">
        <f t="array" ref="P654">_xlfn.IFS(Computed_insight___Success_of_active_sellers__2[[#This Row],[rating]]&gt;=4.5, "Excellent ", Computed_insight___Success_of_active_sellers__2[[#This Row],[rating]]&gt;=4, "Good ", Computed_insight___Success_of_active_sellers__2[[#This Row],[rating]]&gt;=3.5, "Average", TRUE, "Poor ")</f>
        <v>Average</v>
      </c>
      <c r="Q654" s="2" t="str" cm="1">
        <f t="array" ref="Q65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54" s="2" t="str">
        <f>IF(Computed_insight___Success_of_active_sellers__2[[#This Row],[totalurgencycount]]&gt;0, "Has Banner", "No Banner")</f>
        <v>Has Banner</v>
      </c>
    </row>
    <row r="655" spans="1:18" x14ac:dyDescent="0.3">
      <c r="A655">
        <v>653</v>
      </c>
      <c r="B655" t="s">
        <v>805</v>
      </c>
      <c r="C655">
        <v>2</v>
      </c>
      <c r="D655">
        <v>200</v>
      </c>
      <c r="E655">
        <v>100</v>
      </c>
      <c r="F655">
        <v>3.855</v>
      </c>
      <c r="G655">
        <v>131</v>
      </c>
      <c r="H655">
        <v>17</v>
      </c>
      <c r="I655">
        <v>108</v>
      </c>
      <c r="J655">
        <v>85</v>
      </c>
      <c r="K655">
        <v>84.5</v>
      </c>
      <c r="L655">
        <v>50</v>
      </c>
      <c r="O655" s="2" t="str" cm="1">
        <f t="array" ref="O65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55" s="2" t="str" cm="1">
        <f t="array" ref="P655">_xlfn.IFS(Computed_insight___Success_of_active_sellers__2[[#This Row],[rating]]&gt;=4.5, "Excellent ", Computed_insight___Success_of_active_sellers__2[[#This Row],[rating]]&gt;=4, "Good ", Computed_insight___Success_of_active_sellers__2[[#This Row],[rating]]&gt;=3.5, "Average", TRUE, "Poor ")</f>
        <v>Average</v>
      </c>
      <c r="Q655" s="2" t="str" cm="1">
        <f t="array" ref="Q65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55" s="2" t="str">
        <f>IF(Computed_insight___Success_of_active_sellers__2[[#This Row],[totalurgencycount]]&gt;0, "Has Banner", "No Banner")</f>
        <v>No Banner</v>
      </c>
    </row>
    <row r="656" spans="1:18" x14ac:dyDescent="0.3">
      <c r="A656">
        <v>654</v>
      </c>
      <c r="B656" t="s">
        <v>192</v>
      </c>
      <c r="C656">
        <v>2</v>
      </c>
      <c r="D656">
        <v>200</v>
      </c>
      <c r="E656">
        <v>100</v>
      </c>
      <c r="F656">
        <v>3.855</v>
      </c>
      <c r="G656">
        <v>435</v>
      </c>
      <c r="H656">
        <v>11</v>
      </c>
      <c r="I656">
        <v>84</v>
      </c>
      <c r="J656">
        <v>87</v>
      </c>
      <c r="K656">
        <v>87</v>
      </c>
      <c r="L656">
        <v>18</v>
      </c>
      <c r="O656" s="2" t="str" cm="1">
        <f t="array" ref="O65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56" s="2" t="str" cm="1">
        <f t="array" ref="P656">_xlfn.IFS(Computed_insight___Success_of_active_sellers__2[[#This Row],[rating]]&gt;=4.5, "Excellent ", Computed_insight___Success_of_active_sellers__2[[#This Row],[rating]]&gt;=4, "Good ", Computed_insight___Success_of_active_sellers__2[[#This Row],[rating]]&gt;=3.5, "Average", TRUE, "Poor ")</f>
        <v>Average</v>
      </c>
      <c r="Q656" s="2" t="str" cm="1">
        <f t="array" ref="Q65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56" s="2" t="str">
        <f>IF(Computed_insight___Success_of_active_sellers__2[[#This Row],[totalurgencycount]]&gt;0, "Has Banner", "No Banner")</f>
        <v>No Banner</v>
      </c>
    </row>
    <row r="657" spans="1:18" x14ac:dyDescent="0.3">
      <c r="A657">
        <v>655</v>
      </c>
      <c r="B657" t="s">
        <v>112</v>
      </c>
      <c r="C657">
        <v>2</v>
      </c>
      <c r="D657">
        <v>200</v>
      </c>
      <c r="E657">
        <v>100</v>
      </c>
      <c r="F657">
        <v>3.8780000000000001</v>
      </c>
      <c r="G657">
        <v>9078</v>
      </c>
      <c r="H657">
        <v>10</v>
      </c>
      <c r="I657">
        <v>64</v>
      </c>
      <c r="J657">
        <v>85</v>
      </c>
      <c r="K657">
        <v>84.5</v>
      </c>
      <c r="L657">
        <v>34</v>
      </c>
      <c r="M657">
        <v>1</v>
      </c>
      <c r="N657">
        <v>50</v>
      </c>
      <c r="O657" s="2" t="str" cm="1">
        <f t="array" ref="O65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57" s="2" t="str" cm="1">
        <f t="array" ref="P657">_xlfn.IFS(Computed_insight___Success_of_active_sellers__2[[#This Row],[rating]]&gt;=4.5, "Excellent ", Computed_insight___Success_of_active_sellers__2[[#This Row],[rating]]&gt;=4, "Good ", Computed_insight___Success_of_active_sellers__2[[#This Row],[rating]]&gt;=3.5, "Average", TRUE, "Poor ")</f>
        <v>Average</v>
      </c>
      <c r="Q657" s="2" t="str" cm="1">
        <f t="array" ref="Q65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57" s="2" t="str">
        <f>IF(Computed_insight___Success_of_active_sellers__2[[#This Row],[totalurgencycount]]&gt;0, "Has Banner", "No Banner")</f>
        <v>Has Banner</v>
      </c>
    </row>
    <row r="658" spans="1:18" x14ac:dyDescent="0.3">
      <c r="A658">
        <v>656</v>
      </c>
      <c r="B658" t="s">
        <v>99</v>
      </c>
      <c r="C658">
        <v>2</v>
      </c>
      <c r="D658">
        <v>200</v>
      </c>
      <c r="E658">
        <v>100</v>
      </c>
      <c r="F658">
        <v>3.883</v>
      </c>
      <c r="G658">
        <v>239</v>
      </c>
      <c r="H658">
        <v>8</v>
      </c>
      <c r="I658">
        <v>65</v>
      </c>
      <c r="J658">
        <v>88</v>
      </c>
      <c r="K658">
        <v>88</v>
      </c>
      <c r="L658">
        <v>29</v>
      </c>
      <c r="M658">
        <v>1</v>
      </c>
      <c r="N658">
        <v>50</v>
      </c>
      <c r="O658" s="2" t="str" cm="1">
        <f t="array" ref="O65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58" s="2" t="str" cm="1">
        <f t="array" ref="P658">_xlfn.IFS(Computed_insight___Success_of_active_sellers__2[[#This Row],[rating]]&gt;=4.5, "Excellent ", Computed_insight___Success_of_active_sellers__2[[#This Row],[rating]]&gt;=4, "Good ", Computed_insight___Success_of_active_sellers__2[[#This Row],[rating]]&gt;=3.5, "Average", TRUE, "Poor ")</f>
        <v>Average</v>
      </c>
      <c r="Q658" s="2" t="str" cm="1">
        <f t="array" ref="Q65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58" s="2" t="str">
        <f>IF(Computed_insight___Success_of_active_sellers__2[[#This Row],[totalurgencycount]]&gt;0, "Has Banner", "No Banner")</f>
        <v>Has Banner</v>
      </c>
    </row>
    <row r="659" spans="1:18" x14ac:dyDescent="0.3">
      <c r="A659">
        <v>657</v>
      </c>
      <c r="B659" t="s">
        <v>558</v>
      </c>
      <c r="C659">
        <v>2</v>
      </c>
      <c r="D659">
        <v>200</v>
      </c>
      <c r="E659">
        <v>100</v>
      </c>
      <c r="F659">
        <v>3.8940000000000001</v>
      </c>
      <c r="G659">
        <v>104</v>
      </c>
      <c r="H659">
        <v>9</v>
      </c>
      <c r="I659">
        <v>8</v>
      </c>
      <c r="J659">
        <v>-12</v>
      </c>
      <c r="K659">
        <v>-12</v>
      </c>
      <c r="L659">
        <v>27</v>
      </c>
      <c r="M659">
        <v>1</v>
      </c>
      <c r="N659">
        <v>50</v>
      </c>
      <c r="O659" s="2" t="str" cm="1">
        <f t="array" ref="O65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59" s="2" t="str" cm="1">
        <f t="array" ref="P659">_xlfn.IFS(Computed_insight___Success_of_active_sellers__2[[#This Row],[rating]]&gt;=4.5, "Excellent ", Computed_insight___Success_of_active_sellers__2[[#This Row],[rating]]&gt;=4, "Good ", Computed_insight___Success_of_active_sellers__2[[#This Row],[rating]]&gt;=3.5, "Average", TRUE, "Poor ")</f>
        <v>Average</v>
      </c>
      <c r="Q659" s="2" t="str" cm="1">
        <f t="array" ref="Q65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59" s="2" t="str">
        <f>IF(Computed_insight___Success_of_active_sellers__2[[#This Row],[totalurgencycount]]&gt;0, "Has Banner", "No Banner")</f>
        <v>Has Banner</v>
      </c>
    </row>
    <row r="660" spans="1:18" x14ac:dyDescent="0.3">
      <c r="A660">
        <v>658</v>
      </c>
      <c r="B660" t="s">
        <v>79</v>
      </c>
      <c r="C660">
        <v>2</v>
      </c>
      <c r="D660">
        <v>200</v>
      </c>
      <c r="E660">
        <v>100</v>
      </c>
      <c r="F660">
        <v>3.9159999999999999</v>
      </c>
      <c r="G660">
        <v>8996</v>
      </c>
      <c r="H660">
        <v>5.77</v>
      </c>
      <c r="I660">
        <v>5</v>
      </c>
      <c r="J660">
        <v>-15</v>
      </c>
      <c r="K660">
        <v>-15</v>
      </c>
      <c r="L660">
        <v>4</v>
      </c>
      <c r="M660">
        <v>1</v>
      </c>
      <c r="N660">
        <v>50</v>
      </c>
      <c r="O660" s="2" t="str" cm="1">
        <f t="array" ref="O66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60" s="2" t="str" cm="1">
        <f t="array" ref="P660">_xlfn.IFS(Computed_insight___Success_of_active_sellers__2[[#This Row],[rating]]&gt;=4.5, "Excellent ", Computed_insight___Success_of_active_sellers__2[[#This Row],[rating]]&gt;=4, "Good ", Computed_insight___Success_of_active_sellers__2[[#This Row],[rating]]&gt;=3.5, "Average", TRUE, "Poor ")</f>
        <v>Average</v>
      </c>
      <c r="Q660" s="2" t="str" cm="1">
        <f t="array" ref="Q66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60" s="2" t="str">
        <f>IF(Computed_insight___Success_of_active_sellers__2[[#This Row],[totalurgencycount]]&gt;0, "Has Banner", "No Banner")</f>
        <v>Has Banner</v>
      </c>
    </row>
    <row r="661" spans="1:18" x14ac:dyDescent="0.3">
      <c r="A661">
        <v>659</v>
      </c>
      <c r="B661" t="s">
        <v>356</v>
      </c>
      <c r="C661">
        <v>2</v>
      </c>
      <c r="D661">
        <v>200</v>
      </c>
      <c r="E661">
        <v>100</v>
      </c>
      <c r="F661">
        <v>3.9350000000000001</v>
      </c>
      <c r="G661">
        <v>3060</v>
      </c>
      <c r="H661">
        <v>7</v>
      </c>
      <c r="I661">
        <v>6</v>
      </c>
      <c r="J661">
        <v>-16</v>
      </c>
      <c r="K661">
        <v>-16</v>
      </c>
      <c r="L661">
        <v>22</v>
      </c>
      <c r="M661">
        <v>1</v>
      </c>
      <c r="N661">
        <v>50</v>
      </c>
      <c r="O661" s="2" t="str" cm="1">
        <f t="array" ref="O66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61" s="2" t="str" cm="1">
        <f t="array" ref="P661">_xlfn.IFS(Computed_insight___Success_of_active_sellers__2[[#This Row],[rating]]&gt;=4.5, "Excellent ", Computed_insight___Success_of_active_sellers__2[[#This Row],[rating]]&gt;=4, "Good ", Computed_insight___Success_of_active_sellers__2[[#This Row],[rating]]&gt;=3.5, "Average", TRUE, "Poor ")</f>
        <v>Average</v>
      </c>
      <c r="Q661" s="2" t="str" cm="1">
        <f t="array" ref="Q66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61" s="2" t="str">
        <f>IF(Computed_insight___Success_of_active_sellers__2[[#This Row],[totalurgencycount]]&gt;0, "Has Banner", "No Banner")</f>
        <v>Has Banner</v>
      </c>
    </row>
    <row r="662" spans="1:18" x14ac:dyDescent="0.3">
      <c r="A662">
        <v>660</v>
      </c>
      <c r="B662" t="s">
        <v>117</v>
      </c>
      <c r="C662">
        <v>2</v>
      </c>
      <c r="D662">
        <v>200</v>
      </c>
      <c r="E662">
        <v>100</v>
      </c>
      <c r="F662">
        <v>3.948</v>
      </c>
      <c r="G662">
        <v>3237</v>
      </c>
      <c r="H662">
        <v>10.5</v>
      </c>
      <c r="I662">
        <v>46.5</v>
      </c>
      <c r="J662">
        <v>78</v>
      </c>
      <c r="K662">
        <v>77.5</v>
      </c>
      <c r="L662">
        <v>32</v>
      </c>
      <c r="O662" s="2" t="str" cm="1">
        <f t="array" ref="O66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62" s="2" t="str" cm="1">
        <f t="array" ref="P662">_xlfn.IFS(Computed_insight___Success_of_active_sellers__2[[#This Row],[rating]]&gt;=4.5, "Excellent ", Computed_insight___Success_of_active_sellers__2[[#This Row],[rating]]&gt;=4, "Good ", Computed_insight___Success_of_active_sellers__2[[#This Row],[rating]]&gt;=3.5, "Average", TRUE, "Poor ")</f>
        <v>Average</v>
      </c>
      <c r="Q662" s="2" t="str" cm="1">
        <f t="array" ref="Q66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62" s="2" t="str">
        <f>IF(Computed_insight___Success_of_active_sellers__2[[#This Row],[totalurgencycount]]&gt;0, "Has Banner", "No Banner")</f>
        <v>No Banner</v>
      </c>
    </row>
    <row r="663" spans="1:18" x14ac:dyDescent="0.3">
      <c r="A663">
        <v>661</v>
      </c>
      <c r="B663" t="s">
        <v>287</v>
      </c>
      <c r="C663">
        <v>2</v>
      </c>
      <c r="D663">
        <v>200</v>
      </c>
      <c r="E663">
        <v>100</v>
      </c>
      <c r="F663">
        <v>3.9510000000000001</v>
      </c>
      <c r="G663">
        <v>16099</v>
      </c>
      <c r="H663">
        <v>6.92</v>
      </c>
      <c r="I663">
        <v>13.5</v>
      </c>
      <c r="J663">
        <v>32</v>
      </c>
      <c r="K663">
        <v>32</v>
      </c>
      <c r="L663">
        <v>34</v>
      </c>
      <c r="O663" s="2" t="str" cm="1">
        <f t="array" ref="O66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63" s="2" t="str" cm="1">
        <f t="array" ref="P663">_xlfn.IFS(Computed_insight___Success_of_active_sellers__2[[#This Row],[rating]]&gt;=4.5, "Excellent ", Computed_insight___Success_of_active_sellers__2[[#This Row],[rating]]&gt;=4, "Good ", Computed_insight___Success_of_active_sellers__2[[#This Row],[rating]]&gt;=3.5, "Average", TRUE, "Poor ")</f>
        <v>Average</v>
      </c>
      <c r="Q663" s="2" t="str" cm="1">
        <f t="array" ref="Q663">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663" s="2" t="str">
        <f>IF(Computed_insight___Success_of_active_sellers__2[[#This Row],[totalurgencycount]]&gt;0, "Has Banner", "No Banner")</f>
        <v>No Banner</v>
      </c>
    </row>
    <row r="664" spans="1:18" x14ac:dyDescent="0.3">
      <c r="A664">
        <v>662</v>
      </c>
      <c r="B664" t="s">
        <v>261</v>
      </c>
      <c r="C664">
        <v>2</v>
      </c>
      <c r="D664">
        <v>200</v>
      </c>
      <c r="E664">
        <v>100</v>
      </c>
      <c r="F664">
        <v>3.968</v>
      </c>
      <c r="G664">
        <v>16487</v>
      </c>
      <c r="H664">
        <v>11</v>
      </c>
      <c r="I664">
        <v>10</v>
      </c>
      <c r="J664">
        <v>-10</v>
      </c>
      <c r="K664">
        <v>-10</v>
      </c>
      <c r="L664">
        <v>22</v>
      </c>
      <c r="M664">
        <v>1</v>
      </c>
      <c r="N664">
        <v>50</v>
      </c>
      <c r="O664" s="2" t="str" cm="1">
        <f t="array" ref="O66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64" s="2" t="str" cm="1">
        <f t="array" ref="P664">_xlfn.IFS(Computed_insight___Success_of_active_sellers__2[[#This Row],[rating]]&gt;=4.5, "Excellent ", Computed_insight___Success_of_active_sellers__2[[#This Row],[rating]]&gt;=4, "Good ", Computed_insight___Success_of_active_sellers__2[[#This Row],[rating]]&gt;=3.5, "Average", TRUE, "Poor ")</f>
        <v>Average</v>
      </c>
      <c r="Q664" s="2" t="str" cm="1">
        <f t="array" ref="Q66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64" s="2" t="str">
        <f>IF(Computed_insight___Success_of_active_sellers__2[[#This Row],[totalurgencycount]]&gt;0, "Has Banner", "No Banner")</f>
        <v>Has Banner</v>
      </c>
    </row>
    <row r="665" spans="1:18" x14ac:dyDescent="0.3">
      <c r="A665">
        <v>663</v>
      </c>
      <c r="B665" t="s">
        <v>114</v>
      </c>
      <c r="C665">
        <v>2</v>
      </c>
      <c r="D665">
        <v>200</v>
      </c>
      <c r="E665">
        <v>100</v>
      </c>
      <c r="F665">
        <v>3.9710000000000001</v>
      </c>
      <c r="G665">
        <v>9703</v>
      </c>
      <c r="H665">
        <v>9</v>
      </c>
      <c r="I665">
        <v>8</v>
      </c>
      <c r="J665">
        <v>-13</v>
      </c>
      <c r="K665">
        <v>-13</v>
      </c>
      <c r="L665">
        <v>20</v>
      </c>
      <c r="O665" s="2" t="str" cm="1">
        <f t="array" ref="O66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65" s="2" t="str" cm="1">
        <f t="array" ref="P665">_xlfn.IFS(Computed_insight___Success_of_active_sellers__2[[#This Row],[rating]]&gt;=4.5, "Excellent ", Computed_insight___Success_of_active_sellers__2[[#This Row],[rating]]&gt;=4, "Good ", Computed_insight___Success_of_active_sellers__2[[#This Row],[rating]]&gt;=3.5, "Average", TRUE, "Poor ")</f>
        <v>Average</v>
      </c>
      <c r="Q665" s="2" t="str" cm="1">
        <f t="array" ref="Q66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65" s="2" t="str">
        <f>IF(Computed_insight___Success_of_active_sellers__2[[#This Row],[totalurgencycount]]&gt;0, "Has Banner", "No Banner")</f>
        <v>No Banner</v>
      </c>
    </row>
    <row r="666" spans="1:18" x14ac:dyDescent="0.3">
      <c r="A666">
        <v>664</v>
      </c>
      <c r="B666" t="s">
        <v>13</v>
      </c>
      <c r="C666">
        <v>2</v>
      </c>
      <c r="D666">
        <v>200</v>
      </c>
      <c r="E666">
        <v>100</v>
      </c>
      <c r="F666">
        <v>3.984</v>
      </c>
      <c r="G666">
        <v>3515</v>
      </c>
      <c r="H666">
        <v>6</v>
      </c>
      <c r="I666">
        <v>8</v>
      </c>
      <c r="J666">
        <v>25</v>
      </c>
      <c r="K666">
        <v>25</v>
      </c>
      <c r="L666">
        <v>13</v>
      </c>
      <c r="M666">
        <v>1</v>
      </c>
      <c r="N666">
        <v>50</v>
      </c>
      <c r="O666" s="2" t="str" cm="1">
        <f t="array" ref="O66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66" s="2" t="str" cm="1">
        <f t="array" ref="P666">_xlfn.IFS(Computed_insight___Success_of_active_sellers__2[[#This Row],[rating]]&gt;=4.5, "Excellent ", Computed_insight___Success_of_active_sellers__2[[#This Row],[rating]]&gt;=4, "Good ", Computed_insight___Success_of_active_sellers__2[[#This Row],[rating]]&gt;=3.5, "Average", TRUE, "Poor ")</f>
        <v>Average</v>
      </c>
      <c r="Q666" s="2" t="str" cm="1">
        <f t="array" ref="Q666">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666" s="2" t="str">
        <f>IF(Computed_insight___Success_of_active_sellers__2[[#This Row],[totalurgencycount]]&gt;0, "Has Banner", "No Banner")</f>
        <v>Has Banner</v>
      </c>
    </row>
    <row r="667" spans="1:18" x14ac:dyDescent="0.3">
      <c r="A667">
        <v>665</v>
      </c>
      <c r="B667" t="s">
        <v>334</v>
      </c>
      <c r="C667">
        <v>2</v>
      </c>
      <c r="D667">
        <v>200</v>
      </c>
      <c r="E667">
        <v>100</v>
      </c>
      <c r="F667">
        <v>3.9910000000000001</v>
      </c>
      <c r="G667">
        <v>8225</v>
      </c>
      <c r="H667">
        <v>2</v>
      </c>
      <c r="I667">
        <v>10</v>
      </c>
      <c r="J667">
        <v>80</v>
      </c>
      <c r="K667">
        <v>80</v>
      </c>
      <c r="L667">
        <v>10</v>
      </c>
      <c r="M667">
        <v>1</v>
      </c>
      <c r="N667">
        <v>50</v>
      </c>
      <c r="O667" s="2" t="str" cm="1">
        <f t="array" ref="O66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67" s="2" t="str" cm="1">
        <f t="array" ref="P667">_xlfn.IFS(Computed_insight___Success_of_active_sellers__2[[#This Row],[rating]]&gt;=4.5, "Excellent ", Computed_insight___Success_of_active_sellers__2[[#This Row],[rating]]&gt;=4, "Good ", Computed_insight___Success_of_active_sellers__2[[#This Row],[rating]]&gt;=3.5, "Average", TRUE, "Poor ")</f>
        <v>Average</v>
      </c>
      <c r="Q667" s="2" t="str" cm="1">
        <f t="array" ref="Q66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67" s="2" t="str">
        <f>IF(Computed_insight___Success_of_active_sellers__2[[#This Row],[totalurgencycount]]&gt;0, "Has Banner", "No Banner")</f>
        <v>Has Banner</v>
      </c>
    </row>
    <row r="668" spans="1:18" x14ac:dyDescent="0.3">
      <c r="A668">
        <v>666</v>
      </c>
      <c r="B668" t="s">
        <v>720</v>
      </c>
      <c r="C668">
        <v>2</v>
      </c>
      <c r="D668">
        <v>200</v>
      </c>
      <c r="E668">
        <v>100</v>
      </c>
      <c r="F668">
        <v>4.03</v>
      </c>
      <c r="G668">
        <v>2166</v>
      </c>
      <c r="H668">
        <v>15</v>
      </c>
      <c r="I668">
        <v>13</v>
      </c>
      <c r="J668">
        <v>-15</v>
      </c>
      <c r="K668">
        <v>-15</v>
      </c>
      <c r="L668">
        <v>56</v>
      </c>
      <c r="M668">
        <v>1</v>
      </c>
      <c r="N668">
        <v>50</v>
      </c>
      <c r="O668" s="2" t="str" cm="1">
        <f t="array" ref="O66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68" s="2" t="str" cm="1">
        <f t="array" ref="P668">_xlfn.IFS(Computed_insight___Success_of_active_sellers__2[[#This Row],[rating]]&gt;=4.5, "Excellent ", Computed_insight___Success_of_active_sellers__2[[#This Row],[rating]]&gt;=4, "Good ", Computed_insight___Success_of_active_sellers__2[[#This Row],[rating]]&gt;=3.5, "Average", TRUE, "Poor ")</f>
        <v xml:space="preserve">Good </v>
      </c>
      <c r="Q668" s="2" t="str" cm="1">
        <f t="array" ref="Q66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68" s="2" t="str">
        <f>IF(Computed_insight___Success_of_active_sellers__2[[#This Row],[totalurgencycount]]&gt;0, "Has Banner", "No Banner")</f>
        <v>Has Banner</v>
      </c>
    </row>
    <row r="669" spans="1:18" x14ac:dyDescent="0.3">
      <c r="A669">
        <v>667</v>
      </c>
      <c r="B669" t="s">
        <v>737</v>
      </c>
      <c r="C669">
        <v>2</v>
      </c>
      <c r="D669">
        <v>200</v>
      </c>
      <c r="E669">
        <v>100</v>
      </c>
      <c r="F669">
        <v>4.0350000000000001</v>
      </c>
      <c r="G669">
        <v>26951</v>
      </c>
      <c r="H669">
        <v>2</v>
      </c>
      <c r="I669">
        <v>2</v>
      </c>
      <c r="J669">
        <v>0</v>
      </c>
      <c r="K669">
        <v>0</v>
      </c>
      <c r="L669">
        <v>9</v>
      </c>
      <c r="M669">
        <v>1</v>
      </c>
      <c r="N669">
        <v>50</v>
      </c>
      <c r="O669" s="2" t="str" cm="1">
        <f t="array" ref="O66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69" s="2" t="str" cm="1">
        <f t="array" ref="P669">_xlfn.IFS(Computed_insight___Success_of_active_sellers__2[[#This Row],[rating]]&gt;=4.5, "Excellent ", Computed_insight___Success_of_active_sellers__2[[#This Row],[rating]]&gt;=4, "Good ", Computed_insight___Success_of_active_sellers__2[[#This Row],[rating]]&gt;=3.5, "Average", TRUE, "Poor ")</f>
        <v xml:space="preserve">Good </v>
      </c>
      <c r="Q669" s="2" t="str" cm="1">
        <f t="array" ref="Q66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69" s="2" t="str">
        <f>IF(Computed_insight___Success_of_active_sellers__2[[#This Row],[totalurgencycount]]&gt;0, "Has Banner", "No Banner")</f>
        <v>Has Banner</v>
      </c>
    </row>
    <row r="670" spans="1:18" x14ac:dyDescent="0.3">
      <c r="A670">
        <v>668</v>
      </c>
      <c r="B670" t="s">
        <v>392</v>
      </c>
      <c r="C670">
        <v>2</v>
      </c>
      <c r="D670">
        <v>200</v>
      </c>
      <c r="E670">
        <v>100</v>
      </c>
      <c r="F670">
        <v>4.0410000000000004</v>
      </c>
      <c r="G670">
        <v>123</v>
      </c>
      <c r="H670">
        <v>8</v>
      </c>
      <c r="I670">
        <v>10</v>
      </c>
      <c r="J670">
        <v>20</v>
      </c>
      <c r="K670">
        <v>20</v>
      </c>
      <c r="L670">
        <v>58</v>
      </c>
      <c r="M670">
        <v>1</v>
      </c>
      <c r="N670">
        <v>50</v>
      </c>
      <c r="O670" s="2" t="str" cm="1">
        <f t="array" ref="O67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70" s="2" t="str" cm="1">
        <f t="array" ref="P670">_xlfn.IFS(Computed_insight___Success_of_active_sellers__2[[#This Row],[rating]]&gt;=4.5, "Excellent ", Computed_insight___Success_of_active_sellers__2[[#This Row],[rating]]&gt;=4, "Good ", Computed_insight___Success_of_active_sellers__2[[#This Row],[rating]]&gt;=3.5, "Average", TRUE, "Poor ")</f>
        <v xml:space="preserve">Good </v>
      </c>
      <c r="Q670" s="2" t="str" cm="1">
        <f t="array" ref="Q670">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670" s="2" t="str">
        <f>IF(Computed_insight___Success_of_active_sellers__2[[#This Row],[totalurgencycount]]&gt;0, "Has Banner", "No Banner")</f>
        <v>Has Banner</v>
      </c>
    </row>
    <row r="671" spans="1:18" x14ac:dyDescent="0.3">
      <c r="A671">
        <v>669</v>
      </c>
      <c r="B671" t="s">
        <v>349</v>
      </c>
      <c r="C671">
        <v>2</v>
      </c>
      <c r="D671">
        <v>200</v>
      </c>
      <c r="E671">
        <v>100</v>
      </c>
      <c r="F671">
        <v>4.048</v>
      </c>
      <c r="G671">
        <v>21</v>
      </c>
      <c r="H671">
        <v>13</v>
      </c>
      <c r="I671">
        <v>11</v>
      </c>
      <c r="J671">
        <v>-18</v>
      </c>
      <c r="K671">
        <v>-18</v>
      </c>
      <c r="L671">
        <v>26</v>
      </c>
      <c r="M671">
        <v>1</v>
      </c>
      <c r="N671">
        <v>50</v>
      </c>
      <c r="O671" s="2" t="str" cm="1">
        <f t="array" ref="O67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71" s="2" t="str" cm="1">
        <f t="array" ref="P671">_xlfn.IFS(Computed_insight___Success_of_active_sellers__2[[#This Row],[rating]]&gt;=4.5, "Excellent ", Computed_insight___Success_of_active_sellers__2[[#This Row],[rating]]&gt;=4, "Good ", Computed_insight___Success_of_active_sellers__2[[#This Row],[rating]]&gt;=3.5, "Average", TRUE, "Poor ")</f>
        <v xml:space="preserve">Good </v>
      </c>
      <c r="Q671" s="2" t="str" cm="1">
        <f t="array" ref="Q67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71" s="2" t="str">
        <f>IF(Computed_insight___Success_of_active_sellers__2[[#This Row],[totalurgencycount]]&gt;0, "Has Banner", "No Banner")</f>
        <v>Has Banner</v>
      </c>
    </row>
    <row r="672" spans="1:18" x14ac:dyDescent="0.3">
      <c r="A672">
        <v>670</v>
      </c>
      <c r="B672" t="s">
        <v>462</v>
      </c>
      <c r="C672">
        <v>2</v>
      </c>
      <c r="D672">
        <v>200</v>
      </c>
      <c r="E672">
        <v>100</v>
      </c>
      <c r="F672">
        <v>4.069</v>
      </c>
      <c r="G672">
        <v>189</v>
      </c>
      <c r="H672">
        <v>3.94</v>
      </c>
      <c r="I672">
        <v>8</v>
      </c>
      <c r="J672">
        <v>51</v>
      </c>
      <c r="K672">
        <v>51</v>
      </c>
      <c r="L672">
        <v>21</v>
      </c>
      <c r="M672">
        <v>1</v>
      </c>
      <c r="N672">
        <v>50</v>
      </c>
      <c r="O672" s="2" t="str" cm="1">
        <f t="array" ref="O67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72" s="2" t="str" cm="1">
        <f t="array" ref="P672">_xlfn.IFS(Computed_insight___Success_of_active_sellers__2[[#This Row],[rating]]&gt;=4.5, "Excellent ", Computed_insight___Success_of_active_sellers__2[[#This Row],[rating]]&gt;=4, "Good ", Computed_insight___Success_of_active_sellers__2[[#This Row],[rating]]&gt;=3.5, "Average", TRUE, "Poor ")</f>
        <v xml:space="preserve">Good </v>
      </c>
      <c r="Q672" s="2" t="str" cm="1">
        <f t="array" ref="Q67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72" s="2" t="str">
        <f>IF(Computed_insight___Success_of_active_sellers__2[[#This Row],[totalurgencycount]]&gt;0, "Has Banner", "No Banner")</f>
        <v>Has Banner</v>
      </c>
    </row>
    <row r="673" spans="1:18" x14ac:dyDescent="0.3">
      <c r="A673">
        <v>671</v>
      </c>
      <c r="B673" t="s">
        <v>345</v>
      </c>
      <c r="C673">
        <v>2</v>
      </c>
      <c r="D673">
        <v>200</v>
      </c>
      <c r="E673">
        <v>100</v>
      </c>
      <c r="F673">
        <v>4.0720000000000001</v>
      </c>
      <c r="G673">
        <v>1926</v>
      </c>
      <c r="H673">
        <v>11</v>
      </c>
      <c r="I673">
        <v>134</v>
      </c>
      <c r="J673">
        <v>92</v>
      </c>
      <c r="K673">
        <v>92</v>
      </c>
      <c r="L673">
        <v>28</v>
      </c>
      <c r="M673">
        <v>1</v>
      </c>
      <c r="N673">
        <v>50</v>
      </c>
      <c r="O673" s="2" t="str" cm="1">
        <f t="array" ref="O67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73" s="2" t="str" cm="1">
        <f t="array" ref="P673">_xlfn.IFS(Computed_insight___Success_of_active_sellers__2[[#This Row],[rating]]&gt;=4.5, "Excellent ", Computed_insight___Success_of_active_sellers__2[[#This Row],[rating]]&gt;=4, "Good ", Computed_insight___Success_of_active_sellers__2[[#This Row],[rating]]&gt;=3.5, "Average", TRUE, "Poor ")</f>
        <v xml:space="preserve">Good </v>
      </c>
      <c r="Q673" s="2" t="str" cm="1">
        <f t="array" ref="Q67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73" s="2" t="str">
        <f>IF(Computed_insight___Success_of_active_sellers__2[[#This Row],[totalurgencycount]]&gt;0, "Has Banner", "No Banner")</f>
        <v>Has Banner</v>
      </c>
    </row>
    <row r="674" spans="1:18" x14ac:dyDescent="0.3">
      <c r="A674">
        <v>672</v>
      </c>
      <c r="B674" t="s">
        <v>542</v>
      </c>
      <c r="C674">
        <v>2</v>
      </c>
      <c r="D674">
        <v>200</v>
      </c>
      <c r="E674">
        <v>100</v>
      </c>
      <c r="F674">
        <v>4.0780000000000003</v>
      </c>
      <c r="G674">
        <v>22615</v>
      </c>
      <c r="H674">
        <v>4</v>
      </c>
      <c r="I674">
        <v>4</v>
      </c>
      <c r="J674">
        <v>0</v>
      </c>
      <c r="K674">
        <v>0</v>
      </c>
      <c r="L674">
        <v>21</v>
      </c>
      <c r="M674">
        <v>1</v>
      </c>
      <c r="N674">
        <v>50</v>
      </c>
      <c r="O674" s="2" t="str" cm="1">
        <f t="array" ref="O67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74" s="2" t="str" cm="1">
        <f t="array" ref="P674">_xlfn.IFS(Computed_insight___Success_of_active_sellers__2[[#This Row],[rating]]&gt;=4.5, "Excellent ", Computed_insight___Success_of_active_sellers__2[[#This Row],[rating]]&gt;=4, "Good ", Computed_insight___Success_of_active_sellers__2[[#This Row],[rating]]&gt;=3.5, "Average", TRUE, "Poor ")</f>
        <v xml:space="preserve">Good </v>
      </c>
      <c r="Q674" s="2" t="str" cm="1">
        <f t="array" ref="Q67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74" s="2" t="str">
        <f>IF(Computed_insight___Success_of_active_sellers__2[[#This Row],[totalurgencycount]]&gt;0, "Has Banner", "No Banner")</f>
        <v>Has Banner</v>
      </c>
    </row>
    <row r="675" spans="1:18" x14ac:dyDescent="0.3">
      <c r="A675">
        <v>673</v>
      </c>
      <c r="B675" t="s">
        <v>464</v>
      </c>
      <c r="C675">
        <v>2</v>
      </c>
      <c r="D675">
        <v>200</v>
      </c>
      <c r="E675">
        <v>100</v>
      </c>
      <c r="F675">
        <v>4.0789999999999997</v>
      </c>
      <c r="G675">
        <v>7497</v>
      </c>
      <c r="H675">
        <v>4.67</v>
      </c>
      <c r="I675">
        <v>4</v>
      </c>
      <c r="J675">
        <v>-16</v>
      </c>
      <c r="K675">
        <v>-16</v>
      </c>
      <c r="L675">
        <v>82</v>
      </c>
      <c r="M675">
        <v>1</v>
      </c>
      <c r="N675">
        <v>50</v>
      </c>
      <c r="O675" s="2" t="str" cm="1">
        <f t="array" ref="O67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75" s="2" t="str" cm="1">
        <f t="array" ref="P675">_xlfn.IFS(Computed_insight___Success_of_active_sellers__2[[#This Row],[rating]]&gt;=4.5, "Excellent ", Computed_insight___Success_of_active_sellers__2[[#This Row],[rating]]&gt;=4, "Good ", Computed_insight___Success_of_active_sellers__2[[#This Row],[rating]]&gt;=3.5, "Average", TRUE, "Poor ")</f>
        <v xml:space="preserve">Good </v>
      </c>
      <c r="Q675" s="2" t="str" cm="1">
        <f t="array" ref="Q67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75" s="2" t="str">
        <f>IF(Computed_insight___Success_of_active_sellers__2[[#This Row],[totalurgencycount]]&gt;0, "Has Banner", "No Banner")</f>
        <v>Has Banner</v>
      </c>
    </row>
    <row r="676" spans="1:18" x14ac:dyDescent="0.3">
      <c r="A676">
        <v>674</v>
      </c>
      <c r="B676" t="s">
        <v>868</v>
      </c>
      <c r="C676">
        <v>2</v>
      </c>
      <c r="D676">
        <v>200</v>
      </c>
      <c r="E676">
        <v>100</v>
      </c>
      <c r="F676">
        <v>4.09</v>
      </c>
      <c r="G676">
        <v>43876</v>
      </c>
      <c r="H676">
        <v>5</v>
      </c>
      <c r="I676">
        <v>48</v>
      </c>
      <c r="J676">
        <v>90</v>
      </c>
      <c r="K676">
        <v>90</v>
      </c>
      <c r="L676">
        <v>30</v>
      </c>
      <c r="M676">
        <v>1</v>
      </c>
      <c r="N676">
        <v>50</v>
      </c>
      <c r="O676" s="2" t="str" cm="1">
        <f t="array" ref="O67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76" s="2" t="str" cm="1">
        <f t="array" ref="P676">_xlfn.IFS(Computed_insight___Success_of_active_sellers__2[[#This Row],[rating]]&gt;=4.5, "Excellent ", Computed_insight___Success_of_active_sellers__2[[#This Row],[rating]]&gt;=4, "Good ", Computed_insight___Success_of_active_sellers__2[[#This Row],[rating]]&gt;=3.5, "Average", TRUE, "Poor ")</f>
        <v xml:space="preserve">Good </v>
      </c>
      <c r="Q676" s="2" t="str" cm="1">
        <f t="array" ref="Q67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76" s="2" t="str">
        <f>IF(Computed_insight___Success_of_active_sellers__2[[#This Row],[totalurgencycount]]&gt;0, "Has Banner", "No Banner")</f>
        <v>Has Banner</v>
      </c>
    </row>
    <row r="677" spans="1:18" x14ac:dyDescent="0.3">
      <c r="A677">
        <v>675</v>
      </c>
      <c r="B677" t="s">
        <v>886</v>
      </c>
      <c r="C677">
        <v>2</v>
      </c>
      <c r="D677">
        <v>200</v>
      </c>
      <c r="E677">
        <v>100</v>
      </c>
      <c r="F677">
        <v>4.1150000000000002</v>
      </c>
      <c r="G677">
        <v>576</v>
      </c>
      <c r="H677">
        <v>2.71</v>
      </c>
      <c r="I677">
        <v>3</v>
      </c>
      <c r="J677">
        <v>10</v>
      </c>
      <c r="K677">
        <v>10</v>
      </c>
      <c r="L677">
        <v>12</v>
      </c>
      <c r="M677">
        <v>1</v>
      </c>
      <c r="N677">
        <v>50</v>
      </c>
      <c r="O677" s="2" t="str" cm="1">
        <f t="array" ref="O67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77" s="2" t="str" cm="1">
        <f t="array" ref="P677">_xlfn.IFS(Computed_insight___Success_of_active_sellers__2[[#This Row],[rating]]&gt;=4.5, "Excellent ", Computed_insight___Success_of_active_sellers__2[[#This Row],[rating]]&gt;=4, "Good ", Computed_insight___Success_of_active_sellers__2[[#This Row],[rating]]&gt;=3.5, "Average", TRUE, "Poor ")</f>
        <v xml:space="preserve">Good </v>
      </c>
      <c r="Q677" s="2" t="str" cm="1">
        <f t="array" ref="Q677">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677" s="2" t="str">
        <f>IF(Computed_insight___Success_of_active_sellers__2[[#This Row],[totalurgencycount]]&gt;0, "Has Banner", "No Banner")</f>
        <v>Has Banner</v>
      </c>
    </row>
    <row r="678" spans="1:18" x14ac:dyDescent="0.3">
      <c r="A678">
        <v>676</v>
      </c>
      <c r="B678" t="s">
        <v>507</v>
      </c>
      <c r="C678">
        <v>2</v>
      </c>
      <c r="D678">
        <v>200</v>
      </c>
      <c r="E678">
        <v>100</v>
      </c>
      <c r="F678">
        <v>4.1479999999999997</v>
      </c>
      <c r="G678">
        <v>3588</v>
      </c>
      <c r="H678">
        <v>16</v>
      </c>
      <c r="I678">
        <v>14</v>
      </c>
      <c r="J678">
        <v>-14</v>
      </c>
      <c r="K678">
        <v>-14</v>
      </c>
      <c r="L678">
        <v>11</v>
      </c>
      <c r="M678">
        <v>1</v>
      </c>
      <c r="N678">
        <v>50</v>
      </c>
      <c r="O678" s="2" t="str" cm="1">
        <f t="array" ref="O67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78" s="2" t="str" cm="1">
        <f t="array" ref="P678">_xlfn.IFS(Computed_insight___Success_of_active_sellers__2[[#This Row],[rating]]&gt;=4.5, "Excellent ", Computed_insight___Success_of_active_sellers__2[[#This Row],[rating]]&gt;=4, "Good ", Computed_insight___Success_of_active_sellers__2[[#This Row],[rating]]&gt;=3.5, "Average", TRUE, "Poor ")</f>
        <v xml:space="preserve">Good </v>
      </c>
      <c r="Q678" s="2" t="str" cm="1">
        <f t="array" ref="Q67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78" s="2" t="str">
        <f>IF(Computed_insight___Success_of_active_sellers__2[[#This Row],[totalurgencycount]]&gt;0, "Has Banner", "No Banner")</f>
        <v>Has Banner</v>
      </c>
    </row>
    <row r="679" spans="1:18" x14ac:dyDescent="0.3">
      <c r="A679">
        <v>677</v>
      </c>
      <c r="B679" t="s">
        <v>49</v>
      </c>
      <c r="C679">
        <v>2</v>
      </c>
      <c r="D679">
        <v>200</v>
      </c>
      <c r="E679">
        <v>100</v>
      </c>
      <c r="F679">
        <v>4.1749999999999998</v>
      </c>
      <c r="G679">
        <v>3120</v>
      </c>
      <c r="H679">
        <v>11</v>
      </c>
      <c r="I679">
        <v>20</v>
      </c>
      <c r="J679">
        <v>45</v>
      </c>
      <c r="K679">
        <v>45</v>
      </c>
      <c r="L679">
        <v>14</v>
      </c>
      <c r="M679">
        <v>1</v>
      </c>
      <c r="N679">
        <v>50</v>
      </c>
      <c r="O679" s="2" t="str" cm="1">
        <f t="array" ref="O67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79" s="2" t="str" cm="1">
        <f t="array" ref="P679">_xlfn.IFS(Computed_insight___Success_of_active_sellers__2[[#This Row],[rating]]&gt;=4.5, "Excellent ", Computed_insight___Success_of_active_sellers__2[[#This Row],[rating]]&gt;=4, "Good ", Computed_insight___Success_of_active_sellers__2[[#This Row],[rating]]&gt;=3.5, "Average", TRUE, "Poor ")</f>
        <v xml:space="preserve">Good </v>
      </c>
      <c r="Q679" s="2" t="str" cm="1">
        <f t="array" ref="Q679">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679" s="2" t="str">
        <f>IF(Computed_insight___Success_of_active_sellers__2[[#This Row],[totalurgencycount]]&gt;0, "Has Banner", "No Banner")</f>
        <v>Has Banner</v>
      </c>
    </row>
    <row r="680" spans="1:18" x14ac:dyDescent="0.3">
      <c r="A680">
        <v>678</v>
      </c>
      <c r="B680" t="s">
        <v>548</v>
      </c>
      <c r="C680">
        <v>2</v>
      </c>
      <c r="D680">
        <v>200</v>
      </c>
      <c r="E680">
        <v>100</v>
      </c>
      <c r="F680">
        <v>4.1849999999999996</v>
      </c>
      <c r="G680">
        <v>14291</v>
      </c>
      <c r="H680">
        <v>12.5</v>
      </c>
      <c r="I680">
        <v>92.5</v>
      </c>
      <c r="J680">
        <v>86</v>
      </c>
      <c r="K680">
        <v>85.5</v>
      </c>
      <c r="L680">
        <v>89</v>
      </c>
      <c r="M680">
        <v>1</v>
      </c>
      <c r="N680">
        <v>50</v>
      </c>
      <c r="O680" s="2" t="str" cm="1">
        <f t="array" ref="O68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80" s="2" t="str" cm="1">
        <f t="array" ref="P680">_xlfn.IFS(Computed_insight___Success_of_active_sellers__2[[#This Row],[rating]]&gt;=4.5, "Excellent ", Computed_insight___Success_of_active_sellers__2[[#This Row],[rating]]&gt;=4, "Good ", Computed_insight___Success_of_active_sellers__2[[#This Row],[rating]]&gt;=3.5, "Average", TRUE, "Poor ")</f>
        <v xml:space="preserve">Good </v>
      </c>
      <c r="Q680" s="2" t="str" cm="1">
        <f t="array" ref="Q68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80" s="2" t="str">
        <f>IF(Computed_insight___Success_of_active_sellers__2[[#This Row],[totalurgencycount]]&gt;0, "Has Banner", "No Banner")</f>
        <v>Has Banner</v>
      </c>
    </row>
    <row r="681" spans="1:18" x14ac:dyDescent="0.3">
      <c r="A681">
        <v>679</v>
      </c>
      <c r="B681" t="s">
        <v>48</v>
      </c>
      <c r="C681">
        <v>2</v>
      </c>
      <c r="D681">
        <v>200</v>
      </c>
      <c r="E681">
        <v>100</v>
      </c>
      <c r="F681">
        <v>4.2160000000000002</v>
      </c>
      <c r="G681">
        <v>139607</v>
      </c>
      <c r="H681">
        <v>7</v>
      </c>
      <c r="I681">
        <v>6</v>
      </c>
      <c r="J681">
        <v>-16</v>
      </c>
      <c r="K681">
        <v>-16</v>
      </c>
      <c r="L681">
        <v>61</v>
      </c>
      <c r="M681">
        <v>1</v>
      </c>
      <c r="N681">
        <v>50</v>
      </c>
      <c r="O681" s="2" t="str" cm="1">
        <f t="array" ref="O68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81" s="2" t="str" cm="1">
        <f t="array" ref="P681">_xlfn.IFS(Computed_insight___Success_of_active_sellers__2[[#This Row],[rating]]&gt;=4.5, "Excellent ", Computed_insight___Success_of_active_sellers__2[[#This Row],[rating]]&gt;=4, "Good ", Computed_insight___Success_of_active_sellers__2[[#This Row],[rating]]&gt;=3.5, "Average", TRUE, "Poor ")</f>
        <v xml:space="preserve">Good </v>
      </c>
      <c r="Q681" s="2" t="str" cm="1">
        <f t="array" ref="Q68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81" s="2" t="str">
        <f>IF(Computed_insight___Success_of_active_sellers__2[[#This Row],[totalurgencycount]]&gt;0, "Has Banner", "No Banner")</f>
        <v>Has Banner</v>
      </c>
    </row>
    <row r="682" spans="1:18" x14ac:dyDescent="0.3">
      <c r="A682">
        <v>680</v>
      </c>
      <c r="B682" t="s">
        <v>768</v>
      </c>
      <c r="C682">
        <v>2</v>
      </c>
      <c r="D682">
        <v>200</v>
      </c>
      <c r="E682">
        <v>100</v>
      </c>
      <c r="F682">
        <v>4.2210000000000001</v>
      </c>
      <c r="G682">
        <v>620</v>
      </c>
      <c r="H682">
        <v>2</v>
      </c>
      <c r="I682">
        <v>2</v>
      </c>
      <c r="J682">
        <v>0</v>
      </c>
      <c r="K682">
        <v>0</v>
      </c>
      <c r="L682">
        <v>34</v>
      </c>
      <c r="M682">
        <v>1</v>
      </c>
      <c r="N682">
        <v>50</v>
      </c>
      <c r="O682" s="2" t="str" cm="1">
        <f t="array" ref="O68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82" s="2" t="str" cm="1">
        <f t="array" ref="P682">_xlfn.IFS(Computed_insight___Success_of_active_sellers__2[[#This Row],[rating]]&gt;=4.5, "Excellent ", Computed_insight___Success_of_active_sellers__2[[#This Row],[rating]]&gt;=4, "Good ", Computed_insight___Success_of_active_sellers__2[[#This Row],[rating]]&gt;=3.5, "Average", TRUE, "Poor ")</f>
        <v xml:space="preserve">Good </v>
      </c>
      <c r="Q682" s="2" t="str" cm="1">
        <f t="array" ref="Q68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82" s="2" t="str">
        <f>IF(Computed_insight___Success_of_active_sellers__2[[#This Row],[totalurgencycount]]&gt;0, "Has Banner", "No Banner")</f>
        <v>Has Banner</v>
      </c>
    </row>
    <row r="683" spans="1:18" x14ac:dyDescent="0.3">
      <c r="A683">
        <v>681</v>
      </c>
      <c r="B683" t="s">
        <v>524</v>
      </c>
      <c r="C683">
        <v>2</v>
      </c>
      <c r="D683">
        <v>200</v>
      </c>
      <c r="E683">
        <v>100</v>
      </c>
      <c r="F683">
        <v>4.2249999999999996</v>
      </c>
      <c r="G683">
        <v>9357</v>
      </c>
      <c r="H683">
        <v>5</v>
      </c>
      <c r="I683">
        <v>127</v>
      </c>
      <c r="J683">
        <v>97</v>
      </c>
      <c r="K683">
        <v>97</v>
      </c>
      <c r="L683">
        <v>19</v>
      </c>
      <c r="M683">
        <v>1</v>
      </c>
      <c r="N683">
        <v>50</v>
      </c>
      <c r="O683" s="2" t="str" cm="1">
        <f t="array" ref="O68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83" s="2" t="str" cm="1">
        <f t="array" ref="P683">_xlfn.IFS(Computed_insight___Success_of_active_sellers__2[[#This Row],[rating]]&gt;=4.5, "Excellent ", Computed_insight___Success_of_active_sellers__2[[#This Row],[rating]]&gt;=4, "Good ", Computed_insight___Success_of_active_sellers__2[[#This Row],[rating]]&gt;=3.5, "Average", TRUE, "Poor ")</f>
        <v xml:space="preserve">Good </v>
      </c>
      <c r="Q683" s="2" t="str" cm="1">
        <f t="array" ref="Q68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83" s="2" t="str">
        <f>IF(Computed_insight___Success_of_active_sellers__2[[#This Row],[totalurgencycount]]&gt;0, "Has Banner", "No Banner")</f>
        <v>Has Banner</v>
      </c>
    </row>
    <row r="684" spans="1:18" x14ac:dyDescent="0.3">
      <c r="A684">
        <v>682</v>
      </c>
      <c r="B684" t="s">
        <v>525</v>
      </c>
      <c r="C684">
        <v>2</v>
      </c>
      <c r="D684">
        <v>200</v>
      </c>
      <c r="E684">
        <v>100</v>
      </c>
      <c r="F684">
        <v>4.2309999999999999</v>
      </c>
      <c r="G684">
        <v>360</v>
      </c>
      <c r="H684">
        <v>9.5</v>
      </c>
      <c r="I684">
        <v>8.5</v>
      </c>
      <c r="J684">
        <v>-12</v>
      </c>
      <c r="K684">
        <v>-12</v>
      </c>
      <c r="L684">
        <v>17</v>
      </c>
      <c r="O684" s="2" t="str" cm="1">
        <f t="array" ref="O68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84" s="2" t="str" cm="1">
        <f t="array" ref="P684">_xlfn.IFS(Computed_insight___Success_of_active_sellers__2[[#This Row],[rating]]&gt;=4.5, "Excellent ", Computed_insight___Success_of_active_sellers__2[[#This Row],[rating]]&gt;=4, "Good ", Computed_insight___Success_of_active_sellers__2[[#This Row],[rating]]&gt;=3.5, "Average", TRUE, "Poor ")</f>
        <v xml:space="preserve">Good </v>
      </c>
      <c r="Q684" s="2" t="str" cm="1">
        <f t="array" ref="Q68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84" s="2" t="str">
        <f>IF(Computed_insight___Success_of_active_sellers__2[[#This Row],[totalurgencycount]]&gt;0, "Has Banner", "No Banner")</f>
        <v>No Banner</v>
      </c>
    </row>
    <row r="685" spans="1:18" x14ac:dyDescent="0.3">
      <c r="A685">
        <v>683</v>
      </c>
      <c r="B685" t="s">
        <v>503</v>
      </c>
      <c r="C685">
        <v>2</v>
      </c>
      <c r="D685">
        <v>200</v>
      </c>
      <c r="E685">
        <v>100</v>
      </c>
      <c r="F685">
        <v>4.258</v>
      </c>
      <c r="G685">
        <v>4595</v>
      </c>
      <c r="H685">
        <v>2.8</v>
      </c>
      <c r="I685">
        <v>3</v>
      </c>
      <c r="J685">
        <v>7</v>
      </c>
      <c r="K685">
        <v>7</v>
      </c>
      <c r="L685">
        <v>6</v>
      </c>
      <c r="M685">
        <v>1</v>
      </c>
      <c r="N685">
        <v>50</v>
      </c>
      <c r="O685" s="2" t="str" cm="1">
        <f t="array" ref="O68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85" s="2" t="str" cm="1">
        <f t="array" ref="P685">_xlfn.IFS(Computed_insight___Success_of_active_sellers__2[[#This Row],[rating]]&gt;=4.5, "Excellent ", Computed_insight___Success_of_active_sellers__2[[#This Row],[rating]]&gt;=4, "Good ", Computed_insight___Success_of_active_sellers__2[[#This Row],[rating]]&gt;=3.5, "Average", TRUE, "Poor ")</f>
        <v xml:space="preserve">Good </v>
      </c>
      <c r="Q685" s="2" t="str" cm="1">
        <f t="array" ref="Q685">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685" s="2" t="str">
        <f>IF(Computed_insight___Success_of_active_sellers__2[[#This Row],[totalurgencycount]]&gt;0, "Has Banner", "No Banner")</f>
        <v>Has Banner</v>
      </c>
    </row>
    <row r="686" spans="1:18" x14ac:dyDescent="0.3">
      <c r="A686">
        <v>684</v>
      </c>
      <c r="B686" t="s">
        <v>454</v>
      </c>
      <c r="C686">
        <v>2</v>
      </c>
      <c r="D686">
        <v>200</v>
      </c>
      <c r="E686">
        <v>100</v>
      </c>
      <c r="F686">
        <v>4.2770000000000001</v>
      </c>
      <c r="G686">
        <v>5070</v>
      </c>
      <c r="H686">
        <v>11</v>
      </c>
      <c r="I686">
        <v>10</v>
      </c>
      <c r="J686">
        <v>-10</v>
      </c>
      <c r="K686">
        <v>-10</v>
      </c>
      <c r="L686">
        <v>98</v>
      </c>
      <c r="O686" s="2" t="str" cm="1">
        <f t="array" ref="O68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86" s="2" t="str" cm="1">
        <f t="array" ref="P686">_xlfn.IFS(Computed_insight___Success_of_active_sellers__2[[#This Row],[rating]]&gt;=4.5, "Excellent ", Computed_insight___Success_of_active_sellers__2[[#This Row],[rating]]&gt;=4, "Good ", Computed_insight___Success_of_active_sellers__2[[#This Row],[rating]]&gt;=3.5, "Average", TRUE, "Poor ")</f>
        <v xml:space="preserve">Good </v>
      </c>
      <c r="Q686" s="2" t="str" cm="1">
        <f t="array" ref="Q68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86" s="2" t="str">
        <f>IF(Computed_insight___Success_of_active_sellers__2[[#This Row],[totalurgencycount]]&gt;0, "Has Banner", "No Banner")</f>
        <v>No Banner</v>
      </c>
    </row>
    <row r="687" spans="1:18" x14ac:dyDescent="0.3">
      <c r="A687">
        <v>685</v>
      </c>
      <c r="B687" t="s">
        <v>273</v>
      </c>
      <c r="C687">
        <v>2</v>
      </c>
      <c r="D687">
        <v>200</v>
      </c>
      <c r="E687">
        <v>100</v>
      </c>
      <c r="F687">
        <v>4.2910000000000004</v>
      </c>
      <c r="G687">
        <v>38100</v>
      </c>
      <c r="H687">
        <v>3</v>
      </c>
      <c r="I687">
        <v>3</v>
      </c>
      <c r="J687">
        <v>0</v>
      </c>
      <c r="K687">
        <v>0</v>
      </c>
      <c r="L687">
        <v>12</v>
      </c>
      <c r="M687">
        <v>1</v>
      </c>
      <c r="N687">
        <v>50</v>
      </c>
      <c r="O687" s="2" t="str" cm="1">
        <f t="array" ref="O68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87" s="2" t="str" cm="1">
        <f t="array" ref="P687">_xlfn.IFS(Computed_insight___Success_of_active_sellers__2[[#This Row],[rating]]&gt;=4.5, "Excellent ", Computed_insight___Success_of_active_sellers__2[[#This Row],[rating]]&gt;=4, "Good ", Computed_insight___Success_of_active_sellers__2[[#This Row],[rating]]&gt;=3.5, "Average", TRUE, "Poor ")</f>
        <v xml:space="preserve">Good </v>
      </c>
      <c r="Q687" s="2" t="str" cm="1">
        <f t="array" ref="Q68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87" s="2" t="str">
        <f>IF(Computed_insight___Success_of_active_sellers__2[[#This Row],[totalurgencycount]]&gt;0, "Has Banner", "No Banner")</f>
        <v>Has Banner</v>
      </c>
    </row>
    <row r="688" spans="1:18" x14ac:dyDescent="0.3">
      <c r="A688">
        <v>686</v>
      </c>
      <c r="B688" t="s">
        <v>216</v>
      </c>
      <c r="C688">
        <v>2</v>
      </c>
      <c r="D688">
        <v>200</v>
      </c>
      <c r="E688">
        <v>100</v>
      </c>
      <c r="F688">
        <v>4.3179999999999996</v>
      </c>
      <c r="G688">
        <v>6126</v>
      </c>
      <c r="H688">
        <v>8</v>
      </c>
      <c r="I688">
        <v>7</v>
      </c>
      <c r="J688">
        <v>-14</v>
      </c>
      <c r="K688">
        <v>-14</v>
      </c>
      <c r="L688">
        <v>21</v>
      </c>
      <c r="M688">
        <v>1</v>
      </c>
      <c r="N688">
        <v>50</v>
      </c>
      <c r="O688" s="2" t="str" cm="1">
        <f t="array" ref="O68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88" s="2" t="str" cm="1">
        <f t="array" ref="P688">_xlfn.IFS(Computed_insight___Success_of_active_sellers__2[[#This Row],[rating]]&gt;=4.5, "Excellent ", Computed_insight___Success_of_active_sellers__2[[#This Row],[rating]]&gt;=4, "Good ", Computed_insight___Success_of_active_sellers__2[[#This Row],[rating]]&gt;=3.5, "Average", TRUE, "Poor ")</f>
        <v xml:space="preserve">Good </v>
      </c>
      <c r="Q688" s="2" t="str" cm="1">
        <f t="array" ref="Q68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88" s="2" t="str">
        <f>IF(Computed_insight___Success_of_active_sellers__2[[#This Row],[totalurgencycount]]&gt;0, "Has Banner", "No Banner")</f>
        <v>Has Banner</v>
      </c>
    </row>
    <row r="689" spans="1:18" x14ac:dyDescent="0.3">
      <c r="A689">
        <v>687</v>
      </c>
      <c r="B689" t="s">
        <v>269</v>
      </c>
      <c r="C689">
        <v>2</v>
      </c>
      <c r="D689">
        <v>200</v>
      </c>
      <c r="E689">
        <v>100</v>
      </c>
      <c r="F689">
        <v>4.3330000000000002</v>
      </c>
      <c r="G689">
        <v>6</v>
      </c>
      <c r="H689">
        <v>4.8099999999999996</v>
      </c>
      <c r="I689">
        <v>5</v>
      </c>
      <c r="J689">
        <v>4</v>
      </c>
      <c r="K689">
        <v>4</v>
      </c>
      <c r="L689">
        <v>0</v>
      </c>
      <c r="M689">
        <v>1</v>
      </c>
      <c r="N689">
        <v>50</v>
      </c>
      <c r="O689" s="2" t="str" cm="1">
        <f t="array" ref="O68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89" s="2" t="str" cm="1">
        <f t="array" ref="P689">_xlfn.IFS(Computed_insight___Success_of_active_sellers__2[[#This Row],[rating]]&gt;=4.5, "Excellent ", Computed_insight___Success_of_active_sellers__2[[#This Row],[rating]]&gt;=4, "Good ", Computed_insight___Success_of_active_sellers__2[[#This Row],[rating]]&gt;=3.5, "Average", TRUE, "Poor ")</f>
        <v xml:space="preserve">Good </v>
      </c>
      <c r="Q689" s="2" t="str" cm="1">
        <f t="array" ref="Q689">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689" s="2" t="str">
        <f>IF(Computed_insight___Success_of_active_sellers__2[[#This Row],[totalurgencycount]]&gt;0, "Has Banner", "No Banner")</f>
        <v>Has Banner</v>
      </c>
    </row>
    <row r="690" spans="1:18" x14ac:dyDescent="0.3">
      <c r="A690">
        <v>688</v>
      </c>
      <c r="B690" t="s">
        <v>833</v>
      </c>
      <c r="C690">
        <v>2</v>
      </c>
      <c r="D690">
        <v>200</v>
      </c>
      <c r="E690">
        <v>100</v>
      </c>
      <c r="F690">
        <v>4.3609999999999998</v>
      </c>
      <c r="G690">
        <v>7197</v>
      </c>
      <c r="H690">
        <v>11</v>
      </c>
      <c r="I690">
        <v>47</v>
      </c>
      <c r="J690">
        <v>77</v>
      </c>
      <c r="K690">
        <v>77</v>
      </c>
      <c r="L690">
        <v>23</v>
      </c>
      <c r="M690">
        <v>1</v>
      </c>
      <c r="N690">
        <v>50</v>
      </c>
      <c r="O690" s="2" t="str" cm="1">
        <f t="array" ref="O69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90" s="2" t="str" cm="1">
        <f t="array" ref="P690">_xlfn.IFS(Computed_insight___Success_of_active_sellers__2[[#This Row],[rating]]&gt;=4.5, "Excellent ", Computed_insight___Success_of_active_sellers__2[[#This Row],[rating]]&gt;=4, "Good ", Computed_insight___Success_of_active_sellers__2[[#This Row],[rating]]&gt;=3.5, "Average", TRUE, "Poor ")</f>
        <v xml:space="preserve">Good </v>
      </c>
      <c r="Q690" s="2" t="str" cm="1">
        <f t="array" ref="Q69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90" s="2" t="str">
        <f>IF(Computed_insight___Success_of_active_sellers__2[[#This Row],[totalurgencycount]]&gt;0, "Has Banner", "No Banner")</f>
        <v>Has Banner</v>
      </c>
    </row>
    <row r="691" spans="1:18" x14ac:dyDescent="0.3">
      <c r="A691">
        <v>689</v>
      </c>
      <c r="B691" t="s">
        <v>472</v>
      </c>
      <c r="C691">
        <v>2</v>
      </c>
      <c r="D691">
        <v>200</v>
      </c>
      <c r="E691">
        <v>100</v>
      </c>
      <c r="F691">
        <v>4.3680000000000003</v>
      </c>
      <c r="G691">
        <v>619</v>
      </c>
      <c r="H691">
        <v>8</v>
      </c>
      <c r="I691">
        <v>7</v>
      </c>
      <c r="J691">
        <v>-14</v>
      </c>
      <c r="K691">
        <v>-14</v>
      </c>
      <c r="L691">
        <v>3</v>
      </c>
      <c r="M691">
        <v>1</v>
      </c>
      <c r="N691">
        <v>50</v>
      </c>
      <c r="O691" s="2" t="str" cm="1">
        <f t="array" ref="O69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91" s="2" t="str" cm="1">
        <f t="array" ref="P691">_xlfn.IFS(Computed_insight___Success_of_active_sellers__2[[#This Row],[rating]]&gt;=4.5, "Excellent ", Computed_insight___Success_of_active_sellers__2[[#This Row],[rating]]&gt;=4, "Good ", Computed_insight___Success_of_active_sellers__2[[#This Row],[rating]]&gt;=3.5, "Average", TRUE, "Poor ")</f>
        <v xml:space="preserve">Good </v>
      </c>
      <c r="Q691" s="2" t="str" cm="1">
        <f t="array" ref="Q69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91" s="2" t="str">
        <f>IF(Computed_insight___Success_of_active_sellers__2[[#This Row],[totalurgencycount]]&gt;0, "Has Banner", "No Banner")</f>
        <v>Has Banner</v>
      </c>
    </row>
    <row r="692" spans="1:18" x14ac:dyDescent="0.3">
      <c r="A692">
        <v>690</v>
      </c>
      <c r="B692" t="s">
        <v>282</v>
      </c>
      <c r="C692">
        <v>2</v>
      </c>
      <c r="D692">
        <v>200</v>
      </c>
      <c r="E692">
        <v>100</v>
      </c>
      <c r="F692">
        <v>4.3899999999999997</v>
      </c>
      <c r="G692">
        <v>889</v>
      </c>
      <c r="H692">
        <v>8</v>
      </c>
      <c r="I692">
        <v>7</v>
      </c>
      <c r="J692">
        <v>-14</v>
      </c>
      <c r="K692">
        <v>-14</v>
      </c>
      <c r="L692">
        <v>28</v>
      </c>
      <c r="M692">
        <v>1</v>
      </c>
      <c r="N692">
        <v>50</v>
      </c>
      <c r="O692" s="2" t="str" cm="1">
        <f t="array" ref="O69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92" s="2" t="str" cm="1">
        <f t="array" ref="P692">_xlfn.IFS(Computed_insight___Success_of_active_sellers__2[[#This Row],[rating]]&gt;=4.5, "Excellent ", Computed_insight___Success_of_active_sellers__2[[#This Row],[rating]]&gt;=4, "Good ", Computed_insight___Success_of_active_sellers__2[[#This Row],[rating]]&gt;=3.5, "Average", TRUE, "Poor ")</f>
        <v xml:space="preserve">Good </v>
      </c>
      <c r="Q692" s="2" t="str" cm="1">
        <f t="array" ref="Q69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92" s="2" t="str">
        <f>IF(Computed_insight___Success_of_active_sellers__2[[#This Row],[totalurgencycount]]&gt;0, "Has Banner", "No Banner")</f>
        <v>Has Banner</v>
      </c>
    </row>
    <row r="693" spans="1:18" x14ac:dyDescent="0.3">
      <c r="A693">
        <v>691</v>
      </c>
      <c r="B693" t="s">
        <v>544</v>
      </c>
      <c r="C693">
        <v>2</v>
      </c>
      <c r="D693">
        <v>200</v>
      </c>
      <c r="E693">
        <v>100</v>
      </c>
      <c r="F693">
        <v>4.4290000000000003</v>
      </c>
      <c r="G693">
        <v>3276</v>
      </c>
      <c r="H693">
        <v>13</v>
      </c>
      <c r="I693">
        <v>15</v>
      </c>
      <c r="J693">
        <v>14</v>
      </c>
      <c r="K693">
        <v>14</v>
      </c>
      <c r="L693">
        <v>55</v>
      </c>
      <c r="M693">
        <v>1</v>
      </c>
      <c r="N693">
        <v>50</v>
      </c>
      <c r="O693" s="2" t="str" cm="1">
        <f t="array" ref="O69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93" s="2" t="str" cm="1">
        <f t="array" ref="P693">_xlfn.IFS(Computed_insight___Success_of_active_sellers__2[[#This Row],[rating]]&gt;=4.5, "Excellent ", Computed_insight___Success_of_active_sellers__2[[#This Row],[rating]]&gt;=4, "Good ", Computed_insight___Success_of_active_sellers__2[[#This Row],[rating]]&gt;=3.5, "Average", TRUE, "Poor ")</f>
        <v xml:space="preserve">Good </v>
      </c>
      <c r="Q693" s="2" t="str" cm="1">
        <f t="array" ref="Q693">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693" s="2" t="str">
        <f>IF(Computed_insight___Success_of_active_sellers__2[[#This Row],[totalurgencycount]]&gt;0, "Has Banner", "No Banner")</f>
        <v>Has Banner</v>
      </c>
    </row>
    <row r="694" spans="1:18" x14ac:dyDescent="0.3">
      <c r="A694">
        <v>692</v>
      </c>
      <c r="B694" t="s">
        <v>278</v>
      </c>
      <c r="C694">
        <v>2</v>
      </c>
      <c r="D694">
        <v>200</v>
      </c>
      <c r="E694">
        <v>100</v>
      </c>
      <c r="F694">
        <v>4.484</v>
      </c>
      <c r="G694">
        <v>5768</v>
      </c>
      <c r="H694">
        <v>8</v>
      </c>
      <c r="I694">
        <v>7</v>
      </c>
      <c r="J694">
        <v>-14</v>
      </c>
      <c r="K694">
        <v>-14</v>
      </c>
      <c r="L694">
        <v>11</v>
      </c>
      <c r="O694" s="2" t="str" cm="1">
        <f t="array" ref="O69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94" s="2" t="str" cm="1">
        <f t="array" ref="P694">_xlfn.IFS(Computed_insight___Success_of_active_sellers__2[[#This Row],[rating]]&gt;=4.5, "Excellent ", Computed_insight___Success_of_active_sellers__2[[#This Row],[rating]]&gt;=4, "Good ", Computed_insight___Success_of_active_sellers__2[[#This Row],[rating]]&gt;=3.5, "Average", TRUE, "Poor ")</f>
        <v xml:space="preserve">Good </v>
      </c>
      <c r="Q694" s="2" t="str" cm="1">
        <f t="array" ref="Q69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94" s="2" t="str">
        <f>IF(Computed_insight___Success_of_active_sellers__2[[#This Row],[totalurgencycount]]&gt;0, "Has Banner", "No Banner")</f>
        <v>No Banner</v>
      </c>
    </row>
    <row r="695" spans="1:18" x14ac:dyDescent="0.3">
      <c r="A695">
        <v>693</v>
      </c>
      <c r="B695" t="s">
        <v>453</v>
      </c>
      <c r="C695">
        <v>2</v>
      </c>
      <c r="D695">
        <v>200</v>
      </c>
      <c r="E695">
        <v>100</v>
      </c>
      <c r="F695">
        <v>4.5</v>
      </c>
      <c r="G695">
        <v>6</v>
      </c>
      <c r="H695">
        <v>12</v>
      </c>
      <c r="I695">
        <v>11</v>
      </c>
      <c r="J695">
        <v>-9</v>
      </c>
      <c r="K695">
        <v>-9</v>
      </c>
      <c r="L695">
        <v>0</v>
      </c>
      <c r="M695">
        <v>1</v>
      </c>
      <c r="N695">
        <v>50</v>
      </c>
      <c r="O695" s="2" t="str" cm="1">
        <f t="array" ref="O69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95" s="2" t="str" cm="1">
        <f t="array" ref="P695">_xlfn.IFS(Computed_insight___Success_of_active_sellers__2[[#This Row],[rating]]&gt;=4.5, "Excellent ", Computed_insight___Success_of_active_sellers__2[[#This Row],[rating]]&gt;=4, "Good ", Computed_insight___Success_of_active_sellers__2[[#This Row],[rating]]&gt;=3.5, "Average", TRUE, "Poor ")</f>
        <v xml:space="preserve">Excellent </v>
      </c>
      <c r="Q695" s="2" t="str" cm="1">
        <f t="array" ref="Q69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95" s="2" t="str">
        <f>IF(Computed_insight___Success_of_active_sellers__2[[#This Row],[totalurgencycount]]&gt;0, "Has Banner", "No Banner")</f>
        <v>Has Banner</v>
      </c>
    </row>
    <row r="696" spans="1:18" x14ac:dyDescent="0.3">
      <c r="A696">
        <v>694</v>
      </c>
      <c r="B696" t="s">
        <v>761</v>
      </c>
      <c r="C696">
        <v>3</v>
      </c>
      <c r="D696">
        <v>150</v>
      </c>
      <c r="E696">
        <v>50</v>
      </c>
      <c r="F696">
        <v>3.7330000000000001</v>
      </c>
      <c r="G696">
        <v>30</v>
      </c>
      <c r="H696">
        <v>2.89</v>
      </c>
      <c r="I696">
        <v>7</v>
      </c>
      <c r="J696">
        <v>59</v>
      </c>
      <c r="K696">
        <v>59</v>
      </c>
      <c r="L696">
        <v>1</v>
      </c>
      <c r="M696">
        <v>1</v>
      </c>
      <c r="N696">
        <v>33</v>
      </c>
      <c r="O696" s="2" t="str" cm="1">
        <f t="array" ref="O69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96" s="2" t="str" cm="1">
        <f t="array" ref="P696">_xlfn.IFS(Computed_insight___Success_of_active_sellers__2[[#This Row],[rating]]&gt;=4.5, "Excellent ", Computed_insight___Success_of_active_sellers__2[[#This Row],[rating]]&gt;=4, "Good ", Computed_insight___Success_of_active_sellers__2[[#This Row],[rating]]&gt;=3.5, "Average", TRUE, "Poor ")</f>
        <v>Average</v>
      </c>
      <c r="Q696" s="2" t="str" cm="1">
        <f t="array" ref="Q69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96" s="2" t="str">
        <f>IF(Computed_insight___Success_of_active_sellers__2[[#This Row],[totalurgencycount]]&gt;0, "Has Banner", "No Banner")</f>
        <v>Has Banner</v>
      </c>
    </row>
    <row r="697" spans="1:18" x14ac:dyDescent="0.3">
      <c r="A697">
        <v>695</v>
      </c>
      <c r="B697" t="s">
        <v>255</v>
      </c>
      <c r="C697">
        <v>3</v>
      </c>
      <c r="D697">
        <v>150</v>
      </c>
      <c r="E697">
        <v>50</v>
      </c>
      <c r="F697">
        <v>3.7370000000000001</v>
      </c>
      <c r="G697">
        <v>334</v>
      </c>
      <c r="H697">
        <v>8</v>
      </c>
      <c r="I697">
        <v>7</v>
      </c>
      <c r="J697">
        <v>-14</v>
      </c>
      <c r="K697">
        <v>-14</v>
      </c>
      <c r="L697">
        <v>8</v>
      </c>
      <c r="M697">
        <v>1</v>
      </c>
      <c r="N697">
        <v>33</v>
      </c>
      <c r="O697" s="2" t="str" cm="1">
        <f t="array" ref="O69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97" s="2" t="str" cm="1">
        <f t="array" ref="P697">_xlfn.IFS(Computed_insight___Success_of_active_sellers__2[[#This Row],[rating]]&gt;=4.5, "Excellent ", Computed_insight___Success_of_active_sellers__2[[#This Row],[rating]]&gt;=4, "Good ", Computed_insight___Success_of_active_sellers__2[[#This Row],[rating]]&gt;=3.5, "Average", TRUE, "Poor ")</f>
        <v>Average</v>
      </c>
      <c r="Q697" s="2" t="str" cm="1">
        <f t="array" ref="Q69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697" s="2" t="str">
        <f>IF(Computed_insight___Success_of_active_sellers__2[[#This Row],[totalurgencycount]]&gt;0, "Has Banner", "No Banner")</f>
        <v>Has Banner</v>
      </c>
    </row>
    <row r="698" spans="1:18" x14ac:dyDescent="0.3">
      <c r="A698">
        <v>696</v>
      </c>
      <c r="B698" t="s">
        <v>196</v>
      </c>
      <c r="C698">
        <v>3</v>
      </c>
      <c r="D698">
        <v>150</v>
      </c>
      <c r="E698">
        <v>50</v>
      </c>
      <c r="F698">
        <v>3.8250000000000002</v>
      </c>
      <c r="G698">
        <v>57</v>
      </c>
      <c r="H698">
        <v>4.83</v>
      </c>
      <c r="I698">
        <v>51</v>
      </c>
      <c r="J698">
        <v>91</v>
      </c>
      <c r="K698">
        <v>91</v>
      </c>
      <c r="L698">
        <v>1</v>
      </c>
      <c r="M698">
        <v>2</v>
      </c>
      <c r="N698">
        <v>67</v>
      </c>
      <c r="O698" s="2" t="str" cm="1">
        <f t="array" ref="O69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98" s="2" t="str" cm="1">
        <f t="array" ref="P698">_xlfn.IFS(Computed_insight___Success_of_active_sellers__2[[#This Row],[rating]]&gt;=4.5, "Excellent ", Computed_insight___Success_of_active_sellers__2[[#This Row],[rating]]&gt;=4, "Good ", Computed_insight___Success_of_active_sellers__2[[#This Row],[rating]]&gt;=3.5, "Average", TRUE, "Poor ")</f>
        <v>Average</v>
      </c>
      <c r="Q698" s="2" t="str" cm="1">
        <f t="array" ref="Q69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698" s="2" t="str">
        <f>IF(Computed_insight___Success_of_active_sellers__2[[#This Row],[totalurgencycount]]&gt;0, "Has Banner", "No Banner")</f>
        <v>Has Banner</v>
      </c>
    </row>
    <row r="699" spans="1:18" x14ac:dyDescent="0.3">
      <c r="A699">
        <v>697</v>
      </c>
      <c r="B699" t="s">
        <v>153</v>
      </c>
      <c r="C699">
        <v>3</v>
      </c>
      <c r="D699">
        <v>150</v>
      </c>
      <c r="E699">
        <v>50</v>
      </c>
      <c r="F699">
        <v>4.0590000000000002</v>
      </c>
      <c r="G699">
        <v>1374</v>
      </c>
      <c r="H699">
        <v>6</v>
      </c>
      <c r="I699">
        <v>7</v>
      </c>
      <c r="J699">
        <v>15</v>
      </c>
      <c r="K699">
        <v>15</v>
      </c>
      <c r="L699">
        <v>3</v>
      </c>
      <c r="M699">
        <v>1</v>
      </c>
      <c r="N699">
        <v>33</v>
      </c>
      <c r="O699" s="2" t="str" cm="1">
        <f t="array" ref="O69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699" s="2" t="str" cm="1">
        <f t="array" ref="P699">_xlfn.IFS(Computed_insight___Success_of_active_sellers__2[[#This Row],[rating]]&gt;=4.5, "Excellent ", Computed_insight___Success_of_active_sellers__2[[#This Row],[rating]]&gt;=4, "Good ", Computed_insight___Success_of_active_sellers__2[[#This Row],[rating]]&gt;=3.5, "Average", TRUE, "Poor ")</f>
        <v xml:space="preserve">Good </v>
      </c>
      <c r="Q699" s="2" t="str" cm="1">
        <f t="array" ref="Q699">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699" s="2" t="str">
        <f>IF(Computed_insight___Success_of_active_sellers__2[[#This Row],[totalurgencycount]]&gt;0, "Has Banner", "No Banner")</f>
        <v>Has Banner</v>
      </c>
    </row>
    <row r="700" spans="1:18" x14ac:dyDescent="0.3">
      <c r="A700">
        <v>698</v>
      </c>
      <c r="B700" t="s">
        <v>59</v>
      </c>
      <c r="C700">
        <v>3</v>
      </c>
      <c r="D700">
        <v>150</v>
      </c>
      <c r="E700">
        <v>50</v>
      </c>
      <c r="F700">
        <v>4.3529999999999998</v>
      </c>
      <c r="G700">
        <v>34</v>
      </c>
      <c r="H700">
        <v>7</v>
      </c>
      <c r="I700">
        <v>6</v>
      </c>
      <c r="J700">
        <v>-16</v>
      </c>
      <c r="K700">
        <v>-16</v>
      </c>
      <c r="L700">
        <v>4</v>
      </c>
      <c r="M700">
        <v>1</v>
      </c>
      <c r="N700">
        <v>33</v>
      </c>
      <c r="O700" s="2" t="str" cm="1">
        <f t="array" ref="O70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00" s="2" t="str" cm="1">
        <f t="array" ref="P700">_xlfn.IFS(Computed_insight___Success_of_active_sellers__2[[#This Row],[rating]]&gt;=4.5, "Excellent ", Computed_insight___Success_of_active_sellers__2[[#This Row],[rating]]&gt;=4, "Good ", Computed_insight___Success_of_active_sellers__2[[#This Row],[rating]]&gt;=3.5, "Average", TRUE, "Poor ")</f>
        <v xml:space="preserve">Good </v>
      </c>
      <c r="Q700" s="2" t="str" cm="1">
        <f t="array" ref="Q70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00" s="2" t="str">
        <f>IF(Computed_insight___Success_of_active_sellers__2[[#This Row],[totalurgencycount]]&gt;0, "Has Banner", "No Banner")</f>
        <v>Has Banner</v>
      </c>
    </row>
    <row r="701" spans="1:18" x14ac:dyDescent="0.3">
      <c r="A701">
        <v>699</v>
      </c>
      <c r="B701" t="s">
        <v>170</v>
      </c>
      <c r="C701">
        <v>2</v>
      </c>
      <c r="D701">
        <v>150</v>
      </c>
      <c r="E701">
        <v>75</v>
      </c>
      <c r="F701">
        <v>3.8919999999999999</v>
      </c>
      <c r="G701">
        <v>268</v>
      </c>
      <c r="H701">
        <v>3.83</v>
      </c>
      <c r="I701">
        <v>3.5</v>
      </c>
      <c r="J701">
        <v>-8</v>
      </c>
      <c r="K701">
        <v>-8</v>
      </c>
      <c r="L701">
        <v>8</v>
      </c>
      <c r="M701">
        <v>1</v>
      </c>
      <c r="N701">
        <v>50</v>
      </c>
      <c r="O701" s="2" t="str" cm="1">
        <f t="array" ref="O70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01" s="2" t="str" cm="1">
        <f t="array" ref="P701">_xlfn.IFS(Computed_insight___Success_of_active_sellers__2[[#This Row],[rating]]&gt;=4.5, "Excellent ", Computed_insight___Success_of_active_sellers__2[[#This Row],[rating]]&gt;=4, "Good ", Computed_insight___Success_of_active_sellers__2[[#This Row],[rating]]&gt;=3.5, "Average", TRUE, "Poor ")</f>
        <v>Average</v>
      </c>
      <c r="Q701" s="2" t="str" cm="1">
        <f t="array" ref="Q70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01" s="2" t="str">
        <f>IF(Computed_insight___Success_of_active_sellers__2[[#This Row],[totalurgencycount]]&gt;0, "Has Banner", "No Banner")</f>
        <v>Has Banner</v>
      </c>
    </row>
    <row r="702" spans="1:18" x14ac:dyDescent="0.3">
      <c r="A702">
        <v>700</v>
      </c>
      <c r="B702" t="s">
        <v>91</v>
      </c>
      <c r="C702">
        <v>2</v>
      </c>
      <c r="D702">
        <v>150</v>
      </c>
      <c r="E702">
        <v>75</v>
      </c>
      <c r="F702">
        <v>3.9430000000000001</v>
      </c>
      <c r="G702">
        <v>7248</v>
      </c>
      <c r="H702">
        <v>1.93</v>
      </c>
      <c r="I702">
        <v>8.5</v>
      </c>
      <c r="J702">
        <v>78</v>
      </c>
      <c r="K702">
        <v>77.5</v>
      </c>
      <c r="L702">
        <v>25</v>
      </c>
      <c r="M702">
        <v>2</v>
      </c>
      <c r="N702">
        <v>100</v>
      </c>
      <c r="O702" s="2" t="str" cm="1">
        <f t="array" ref="O70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02" s="2" t="str" cm="1">
        <f t="array" ref="P702">_xlfn.IFS(Computed_insight___Success_of_active_sellers__2[[#This Row],[rating]]&gt;=4.5, "Excellent ", Computed_insight___Success_of_active_sellers__2[[#This Row],[rating]]&gt;=4, "Good ", Computed_insight___Success_of_active_sellers__2[[#This Row],[rating]]&gt;=3.5, "Average", TRUE, "Poor ")</f>
        <v>Average</v>
      </c>
      <c r="Q702" s="2" t="str" cm="1">
        <f t="array" ref="Q70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02" s="2" t="str">
        <f>IF(Computed_insight___Success_of_active_sellers__2[[#This Row],[totalurgencycount]]&gt;0, "Has Banner", "No Banner")</f>
        <v>Has Banner</v>
      </c>
    </row>
    <row r="703" spans="1:18" x14ac:dyDescent="0.3">
      <c r="A703">
        <v>701</v>
      </c>
      <c r="B703" t="s">
        <v>92</v>
      </c>
      <c r="C703">
        <v>2</v>
      </c>
      <c r="D703">
        <v>150</v>
      </c>
      <c r="E703">
        <v>75</v>
      </c>
      <c r="F703">
        <v>4.1849999999999996</v>
      </c>
      <c r="G703">
        <v>54</v>
      </c>
      <c r="H703">
        <v>11.5</v>
      </c>
      <c r="I703">
        <v>88.5</v>
      </c>
      <c r="J703">
        <v>88</v>
      </c>
      <c r="K703">
        <v>87.5</v>
      </c>
      <c r="L703">
        <v>11</v>
      </c>
      <c r="O703" s="2" t="str" cm="1">
        <f t="array" ref="O70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03" s="2" t="str" cm="1">
        <f t="array" ref="P703">_xlfn.IFS(Computed_insight___Success_of_active_sellers__2[[#This Row],[rating]]&gt;=4.5, "Excellent ", Computed_insight___Success_of_active_sellers__2[[#This Row],[rating]]&gt;=4, "Good ", Computed_insight___Success_of_active_sellers__2[[#This Row],[rating]]&gt;=3.5, "Average", TRUE, "Poor ")</f>
        <v xml:space="preserve">Good </v>
      </c>
      <c r="Q703" s="2" t="str" cm="1">
        <f t="array" ref="Q70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03" s="2" t="str">
        <f>IF(Computed_insight___Success_of_active_sellers__2[[#This Row],[totalurgencycount]]&gt;0, "Has Banner", "No Banner")</f>
        <v>No Banner</v>
      </c>
    </row>
    <row r="704" spans="1:18" x14ac:dyDescent="0.3">
      <c r="A704">
        <v>702</v>
      </c>
      <c r="B704" t="s">
        <v>4</v>
      </c>
      <c r="C704">
        <v>3</v>
      </c>
      <c r="D704">
        <v>120</v>
      </c>
      <c r="E704">
        <v>40</v>
      </c>
      <c r="F704">
        <v>3.99</v>
      </c>
      <c r="G704">
        <v>295</v>
      </c>
      <c r="H704">
        <v>6</v>
      </c>
      <c r="I704">
        <v>48.33</v>
      </c>
      <c r="J704">
        <v>88</v>
      </c>
      <c r="K704">
        <v>88</v>
      </c>
      <c r="L704">
        <v>5</v>
      </c>
      <c r="M704">
        <v>1</v>
      </c>
      <c r="N704">
        <v>33</v>
      </c>
      <c r="O704" s="2" t="str" cm="1">
        <f t="array" ref="O70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04" s="2" t="str" cm="1">
        <f t="array" ref="P704">_xlfn.IFS(Computed_insight___Success_of_active_sellers__2[[#This Row],[rating]]&gt;=4.5, "Excellent ", Computed_insight___Success_of_active_sellers__2[[#This Row],[rating]]&gt;=4, "Good ", Computed_insight___Success_of_active_sellers__2[[#This Row],[rating]]&gt;=3.5, "Average", TRUE, "Poor ")</f>
        <v>Average</v>
      </c>
      <c r="Q704" s="2" t="str" cm="1">
        <f t="array" ref="Q70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04" s="2" t="str">
        <f>IF(Computed_insight___Success_of_active_sellers__2[[#This Row],[totalurgencycount]]&gt;0, "Has Banner", "No Banner")</f>
        <v>Has Banner</v>
      </c>
    </row>
    <row r="705" spans="1:18" x14ac:dyDescent="0.3">
      <c r="A705">
        <v>703</v>
      </c>
      <c r="B705" t="s">
        <v>476</v>
      </c>
      <c r="C705">
        <v>2</v>
      </c>
      <c r="D705">
        <v>103</v>
      </c>
      <c r="E705">
        <v>52</v>
      </c>
      <c r="F705">
        <v>4.2519999999999998</v>
      </c>
      <c r="G705">
        <v>4150</v>
      </c>
      <c r="H705">
        <v>10</v>
      </c>
      <c r="I705">
        <v>12.5</v>
      </c>
      <c r="J705">
        <v>25</v>
      </c>
      <c r="K705">
        <v>25</v>
      </c>
      <c r="L705">
        <v>6</v>
      </c>
      <c r="O705" s="2" t="str" cm="1">
        <f t="array" ref="O70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05" s="2" t="str" cm="1">
        <f t="array" ref="P705">_xlfn.IFS(Computed_insight___Success_of_active_sellers__2[[#This Row],[rating]]&gt;=4.5, "Excellent ", Computed_insight___Success_of_active_sellers__2[[#This Row],[rating]]&gt;=4, "Good ", Computed_insight___Success_of_active_sellers__2[[#This Row],[rating]]&gt;=3.5, "Average", TRUE, "Poor ")</f>
        <v xml:space="preserve">Good </v>
      </c>
      <c r="Q705" s="2" t="str" cm="1">
        <f t="array" ref="Q705">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705" s="2" t="str">
        <f>IF(Computed_insight___Success_of_active_sellers__2[[#This Row],[totalurgencycount]]&gt;0, "Has Banner", "No Banner")</f>
        <v>No Banner</v>
      </c>
    </row>
    <row r="706" spans="1:18" x14ac:dyDescent="0.3">
      <c r="A706">
        <v>704</v>
      </c>
      <c r="B706" t="s">
        <v>379</v>
      </c>
      <c r="C706">
        <v>1</v>
      </c>
      <c r="D706">
        <v>100</v>
      </c>
      <c r="E706">
        <v>100</v>
      </c>
      <c r="F706">
        <v>2.9409999999999998</v>
      </c>
      <c r="G706">
        <v>17</v>
      </c>
      <c r="H706">
        <v>11</v>
      </c>
      <c r="I706">
        <v>50</v>
      </c>
      <c r="J706">
        <v>78</v>
      </c>
      <c r="K706">
        <v>78</v>
      </c>
      <c r="L706">
        <v>9</v>
      </c>
      <c r="O706" s="2" t="str" cm="1">
        <f t="array" ref="O70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06" s="2" t="str" cm="1">
        <f t="array" ref="P706">_xlfn.IFS(Computed_insight___Success_of_active_sellers__2[[#This Row],[rating]]&gt;=4.5, "Excellent ", Computed_insight___Success_of_active_sellers__2[[#This Row],[rating]]&gt;=4, "Good ", Computed_insight___Success_of_active_sellers__2[[#This Row],[rating]]&gt;=3.5, "Average", TRUE, "Poor ")</f>
        <v xml:space="preserve">Poor </v>
      </c>
      <c r="Q706" s="2" t="str" cm="1">
        <f t="array" ref="Q70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06" s="2" t="str">
        <f>IF(Computed_insight___Success_of_active_sellers__2[[#This Row],[totalurgencycount]]&gt;0, "Has Banner", "No Banner")</f>
        <v>No Banner</v>
      </c>
    </row>
    <row r="707" spans="1:18" x14ac:dyDescent="0.3">
      <c r="A707">
        <v>705</v>
      </c>
      <c r="B707" t="s">
        <v>912</v>
      </c>
      <c r="C707">
        <v>1</v>
      </c>
      <c r="D707">
        <v>100</v>
      </c>
      <c r="E707">
        <v>100</v>
      </c>
      <c r="F707">
        <v>3</v>
      </c>
      <c r="G707">
        <v>3</v>
      </c>
      <c r="H707">
        <v>12</v>
      </c>
      <c r="I707">
        <v>11</v>
      </c>
      <c r="J707">
        <v>-9</v>
      </c>
      <c r="K707">
        <v>-9</v>
      </c>
      <c r="L707">
        <v>1</v>
      </c>
      <c r="O707" s="2" t="str" cm="1">
        <f t="array" ref="O70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07" s="2" t="str" cm="1">
        <f t="array" ref="P707">_xlfn.IFS(Computed_insight___Success_of_active_sellers__2[[#This Row],[rating]]&gt;=4.5, "Excellent ", Computed_insight___Success_of_active_sellers__2[[#This Row],[rating]]&gt;=4, "Good ", Computed_insight___Success_of_active_sellers__2[[#This Row],[rating]]&gt;=3.5, "Average", TRUE, "Poor ")</f>
        <v xml:space="preserve">Poor </v>
      </c>
      <c r="Q707" s="2" t="str" cm="1">
        <f t="array" ref="Q70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07" s="2" t="str">
        <f>IF(Computed_insight___Success_of_active_sellers__2[[#This Row],[totalurgencycount]]&gt;0, "Has Banner", "No Banner")</f>
        <v>No Banner</v>
      </c>
    </row>
    <row r="708" spans="1:18" x14ac:dyDescent="0.3">
      <c r="A708">
        <v>706</v>
      </c>
      <c r="B708" t="s">
        <v>341</v>
      </c>
      <c r="C708">
        <v>1</v>
      </c>
      <c r="D708">
        <v>100</v>
      </c>
      <c r="E708">
        <v>100</v>
      </c>
      <c r="F708">
        <v>3.0339999999999998</v>
      </c>
      <c r="G708">
        <v>29</v>
      </c>
      <c r="H708">
        <v>12</v>
      </c>
      <c r="I708">
        <v>75</v>
      </c>
      <c r="J708">
        <v>84</v>
      </c>
      <c r="K708">
        <v>84</v>
      </c>
      <c r="L708">
        <v>28</v>
      </c>
      <c r="O708" s="2" t="str" cm="1">
        <f t="array" ref="O70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08" s="2" t="str" cm="1">
        <f t="array" ref="P708">_xlfn.IFS(Computed_insight___Success_of_active_sellers__2[[#This Row],[rating]]&gt;=4.5, "Excellent ", Computed_insight___Success_of_active_sellers__2[[#This Row],[rating]]&gt;=4, "Good ", Computed_insight___Success_of_active_sellers__2[[#This Row],[rating]]&gt;=3.5, "Average", TRUE, "Poor ")</f>
        <v xml:space="preserve">Poor </v>
      </c>
      <c r="Q708" s="2" t="str" cm="1">
        <f t="array" ref="Q70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08" s="2" t="str">
        <f>IF(Computed_insight___Success_of_active_sellers__2[[#This Row],[totalurgencycount]]&gt;0, "Has Banner", "No Banner")</f>
        <v>No Banner</v>
      </c>
    </row>
    <row r="709" spans="1:18" x14ac:dyDescent="0.3">
      <c r="A709">
        <v>707</v>
      </c>
      <c r="B709" t="s">
        <v>570</v>
      </c>
      <c r="C709">
        <v>1</v>
      </c>
      <c r="D709">
        <v>100</v>
      </c>
      <c r="E709">
        <v>100</v>
      </c>
      <c r="F709">
        <v>3.0390000000000001</v>
      </c>
      <c r="G709">
        <v>231</v>
      </c>
      <c r="H709">
        <v>5</v>
      </c>
      <c r="I709">
        <v>5</v>
      </c>
      <c r="J709">
        <v>0</v>
      </c>
      <c r="K709">
        <v>0</v>
      </c>
      <c r="L709">
        <v>6</v>
      </c>
      <c r="O709" s="2" t="str" cm="1">
        <f t="array" ref="O70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09" s="2" t="str" cm="1">
        <f t="array" ref="P709">_xlfn.IFS(Computed_insight___Success_of_active_sellers__2[[#This Row],[rating]]&gt;=4.5, "Excellent ", Computed_insight___Success_of_active_sellers__2[[#This Row],[rating]]&gt;=4, "Good ", Computed_insight___Success_of_active_sellers__2[[#This Row],[rating]]&gt;=3.5, "Average", TRUE, "Poor ")</f>
        <v xml:space="preserve">Poor </v>
      </c>
      <c r="Q709" s="2" t="str" cm="1">
        <f t="array" ref="Q70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09" s="2" t="str">
        <f>IF(Computed_insight___Success_of_active_sellers__2[[#This Row],[totalurgencycount]]&gt;0, "Has Banner", "No Banner")</f>
        <v>No Banner</v>
      </c>
    </row>
    <row r="710" spans="1:18" x14ac:dyDescent="0.3">
      <c r="A710">
        <v>708</v>
      </c>
      <c r="B710" t="s">
        <v>847</v>
      </c>
      <c r="C710">
        <v>1</v>
      </c>
      <c r="D710">
        <v>100</v>
      </c>
      <c r="E710">
        <v>100</v>
      </c>
      <c r="F710">
        <v>3.25</v>
      </c>
      <c r="G710">
        <v>64</v>
      </c>
      <c r="H710">
        <v>20</v>
      </c>
      <c r="I710">
        <v>17</v>
      </c>
      <c r="J710">
        <v>-17</v>
      </c>
      <c r="K710">
        <v>-17</v>
      </c>
      <c r="L710">
        <v>60</v>
      </c>
      <c r="O710" s="2" t="str" cm="1">
        <f t="array" ref="O71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10" s="2" t="str" cm="1">
        <f t="array" ref="P710">_xlfn.IFS(Computed_insight___Success_of_active_sellers__2[[#This Row],[rating]]&gt;=4.5, "Excellent ", Computed_insight___Success_of_active_sellers__2[[#This Row],[rating]]&gt;=4, "Good ", Computed_insight___Success_of_active_sellers__2[[#This Row],[rating]]&gt;=3.5, "Average", TRUE, "Poor ")</f>
        <v xml:space="preserve">Poor </v>
      </c>
      <c r="Q710" s="2" t="str" cm="1">
        <f t="array" ref="Q71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10" s="2" t="str">
        <f>IF(Computed_insight___Success_of_active_sellers__2[[#This Row],[totalurgencycount]]&gt;0, "Has Banner", "No Banner")</f>
        <v>No Banner</v>
      </c>
    </row>
    <row r="711" spans="1:18" x14ac:dyDescent="0.3">
      <c r="A711">
        <v>709</v>
      </c>
      <c r="B711" t="s">
        <v>97</v>
      </c>
      <c r="C711">
        <v>1</v>
      </c>
      <c r="D711">
        <v>100</v>
      </c>
      <c r="E711">
        <v>100</v>
      </c>
      <c r="F711">
        <v>3.2989999999999999</v>
      </c>
      <c r="G711">
        <v>67</v>
      </c>
      <c r="H711">
        <v>20</v>
      </c>
      <c r="I711">
        <v>17</v>
      </c>
      <c r="J711">
        <v>-17</v>
      </c>
      <c r="K711">
        <v>-17</v>
      </c>
      <c r="L711">
        <v>15</v>
      </c>
      <c r="O711" s="2" t="str" cm="1">
        <f t="array" ref="O71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11" s="2" t="str" cm="1">
        <f t="array" ref="P711">_xlfn.IFS(Computed_insight___Success_of_active_sellers__2[[#This Row],[rating]]&gt;=4.5, "Excellent ", Computed_insight___Success_of_active_sellers__2[[#This Row],[rating]]&gt;=4, "Good ", Computed_insight___Success_of_active_sellers__2[[#This Row],[rating]]&gt;=3.5, "Average", TRUE, "Poor ")</f>
        <v xml:space="preserve">Poor </v>
      </c>
      <c r="Q711" s="2" t="str" cm="1">
        <f t="array" ref="Q71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11" s="2" t="str">
        <f>IF(Computed_insight___Success_of_active_sellers__2[[#This Row],[totalurgencycount]]&gt;0, "Has Banner", "No Banner")</f>
        <v>No Banner</v>
      </c>
    </row>
    <row r="712" spans="1:18" x14ac:dyDescent="0.3">
      <c r="A712">
        <v>710</v>
      </c>
      <c r="B712" t="s">
        <v>632</v>
      </c>
      <c r="C712">
        <v>1</v>
      </c>
      <c r="D712">
        <v>100</v>
      </c>
      <c r="E712">
        <v>100</v>
      </c>
      <c r="F712">
        <v>3.3380000000000001</v>
      </c>
      <c r="G712">
        <v>269</v>
      </c>
      <c r="H712">
        <v>3.66</v>
      </c>
      <c r="I712">
        <v>26</v>
      </c>
      <c r="J712">
        <v>86</v>
      </c>
      <c r="K712">
        <v>86</v>
      </c>
      <c r="L712">
        <v>10</v>
      </c>
      <c r="O712" s="2" t="str" cm="1">
        <f t="array" ref="O71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12" s="2" t="str" cm="1">
        <f t="array" ref="P712">_xlfn.IFS(Computed_insight___Success_of_active_sellers__2[[#This Row],[rating]]&gt;=4.5, "Excellent ", Computed_insight___Success_of_active_sellers__2[[#This Row],[rating]]&gt;=4, "Good ", Computed_insight___Success_of_active_sellers__2[[#This Row],[rating]]&gt;=3.5, "Average", TRUE, "Poor ")</f>
        <v xml:space="preserve">Poor </v>
      </c>
      <c r="Q712" s="2" t="str" cm="1">
        <f t="array" ref="Q71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12" s="2" t="str">
        <f>IF(Computed_insight___Success_of_active_sellers__2[[#This Row],[totalurgencycount]]&gt;0, "Has Banner", "No Banner")</f>
        <v>No Banner</v>
      </c>
    </row>
    <row r="713" spans="1:18" x14ac:dyDescent="0.3">
      <c r="A713">
        <v>711</v>
      </c>
      <c r="B713" t="s">
        <v>845</v>
      </c>
      <c r="C713">
        <v>1</v>
      </c>
      <c r="D713">
        <v>100</v>
      </c>
      <c r="E713">
        <v>100</v>
      </c>
      <c r="F713">
        <v>3.367</v>
      </c>
      <c r="G713">
        <v>572</v>
      </c>
      <c r="H713">
        <v>16</v>
      </c>
      <c r="I713">
        <v>14</v>
      </c>
      <c r="J713">
        <v>-14</v>
      </c>
      <c r="K713">
        <v>-14</v>
      </c>
      <c r="L713">
        <v>27</v>
      </c>
      <c r="O713" s="2" t="str" cm="1">
        <f t="array" ref="O71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13" s="2" t="str" cm="1">
        <f t="array" ref="P713">_xlfn.IFS(Computed_insight___Success_of_active_sellers__2[[#This Row],[rating]]&gt;=4.5, "Excellent ", Computed_insight___Success_of_active_sellers__2[[#This Row],[rating]]&gt;=4, "Good ", Computed_insight___Success_of_active_sellers__2[[#This Row],[rating]]&gt;=3.5, "Average", TRUE, "Poor ")</f>
        <v xml:space="preserve">Poor </v>
      </c>
      <c r="Q713" s="2" t="str" cm="1">
        <f t="array" ref="Q71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13" s="2" t="str">
        <f>IF(Computed_insight___Success_of_active_sellers__2[[#This Row],[totalurgencycount]]&gt;0, "Has Banner", "No Banner")</f>
        <v>No Banner</v>
      </c>
    </row>
    <row r="714" spans="1:18" x14ac:dyDescent="0.3">
      <c r="A714">
        <v>712</v>
      </c>
      <c r="B714" t="s">
        <v>410</v>
      </c>
      <c r="C714">
        <v>1</v>
      </c>
      <c r="D714">
        <v>100</v>
      </c>
      <c r="E714">
        <v>100</v>
      </c>
      <c r="F714">
        <v>3.4180000000000001</v>
      </c>
      <c r="G714">
        <v>79</v>
      </c>
      <c r="H714">
        <v>16</v>
      </c>
      <c r="I714">
        <v>22</v>
      </c>
      <c r="J714">
        <v>28</v>
      </c>
      <c r="K714">
        <v>28</v>
      </c>
      <c r="L714">
        <v>72</v>
      </c>
      <c r="O714" s="2" t="str" cm="1">
        <f t="array" ref="O71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14" s="2" t="str" cm="1">
        <f t="array" ref="P714">_xlfn.IFS(Computed_insight___Success_of_active_sellers__2[[#This Row],[rating]]&gt;=4.5, "Excellent ", Computed_insight___Success_of_active_sellers__2[[#This Row],[rating]]&gt;=4, "Good ", Computed_insight___Success_of_active_sellers__2[[#This Row],[rating]]&gt;=3.5, "Average", TRUE, "Poor ")</f>
        <v xml:space="preserve">Poor </v>
      </c>
      <c r="Q714" s="2" t="str" cm="1">
        <f t="array" ref="Q714">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714" s="2" t="str">
        <f>IF(Computed_insight___Success_of_active_sellers__2[[#This Row],[totalurgencycount]]&gt;0, "Has Banner", "No Banner")</f>
        <v>No Banner</v>
      </c>
    </row>
    <row r="715" spans="1:18" x14ac:dyDescent="0.3">
      <c r="A715">
        <v>713</v>
      </c>
      <c r="B715" t="s">
        <v>873</v>
      </c>
      <c r="C715">
        <v>1</v>
      </c>
      <c r="D715">
        <v>100</v>
      </c>
      <c r="E715">
        <v>100</v>
      </c>
      <c r="F715">
        <v>3.423</v>
      </c>
      <c r="G715">
        <v>71</v>
      </c>
      <c r="H715">
        <v>2</v>
      </c>
      <c r="I715">
        <v>4</v>
      </c>
      <c r="J715">
        <v>50</v>
      </c>
      <c r="K715">
        <v>50</v>
      </c>
      <c r="L715">
        <v>30</v>
      </c>
      <c r="O715" s="2" t="str" cm="1">
        <f t="array" ref="O71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15" s="2" t="str" cm="1">
        <f t="array" ref="P715">_xlfn.IFS(Computed_insight___Success_of_active_sellers__2[[#This Row],[rating]]&gt;=4.5, "Excellent ", Computed_insight___Success_of_active_sellers__2[[#This Row],[rating]]&gt;=4, "Good ", Computed_insight___Success_of_active_sellers__2[[#This Row],[rating]]&gt;=3.5, "Average", TRUE, "Poor ")</f>
        <v xml:space="preserve">Poor </v>
      </c>
      <c r="Q715" s="2" t="str" cm="1">
        <f t="array" ref="Q715">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715" s="2" t="str">
        <f>IF(Computed_insight___Success_of_active_sellers__2[[#This Row],[totalurgencycount]]&gt;0, "Has Banner", "No Banner")</f>
        <v>No Banner</v>
      </c>
    </row>
    <row r="716" spans="1:18" x14ac:dyDescent="0.3">
      <c r="A716">
        <v>714</v>
      </c>
      <c r="B716" t="s">
        <v>226</v>
      </c>
      <c r="C716">
        <v>1</v>
      </c>
      <c r="D716">
        <v>100</v>
      </c>
      <c r="E716">
        <v>100</v>
      </c>
      <c r="F716">
        <v>3.4740000000000002</v>
      </c>
      <c r="G716">
        <v>38</v>
      </c>
      <c r="H716">
        <v>13</v>
      </c>
      <c r="I716">
        <v>11</v>
      </c>
      <c r="J716">
        <v>-18</v>
      </c>
      <c r="K716">
        <v>-18</v>
      </c>
      <c r="L716">
        <v>11</v>
      </c>
      <c r="O716" s="2" t="str" cm="1">
        <f t="array" ref="O71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16" s="2" t="str" cm="1">
        <f t="array" ref="P716">_xlfn.IFS(Computed_insight___Success_of_active_sellers__2[[#This Row],[rating]]&gt;=4.5, "Excellent ", Computed_insight___Success_of_active_sellers__2[[#This Row],[rating]]&gt;=4, "Good ", Computed_insight___Success_of_active_sellers__2[[#This Row],[rating]]&gt;=3.5, "Average", TRUE, "Poor ")</f>
        <v xml:space="preserve">Poor </v>
      </c>
      <c r="Q716" s="2" t="str" cm="1">
        <f t="array" ref="Q71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16" s="2" t="str">
        <f>IF(Computed_insight___Success_of_active_sellers__2[[#This Row],[totalurgencycount]]&gt;0, "Has Banner", "No Banner")</f>
        <v>No Banner</v>
      </c>
    </row>
    <row r="717" spans="1:18" x14ac:dyDescent="0.3">
      <c r="A717">
        <v>715</v>
      </c>
      <c r="B717" t="s">
        <v>689</v>
      </c>
      <c r="C717">
        <v>1</v>
      </c>
      <c r="D717">
        <v>100</v>
      </c>
      <c r="E717">
        <v>100</v>
      </c>
      <c r="F717">
        <v>3.5139999999999998</v>
      </c>
      <c r="G717">
        <v>70</v>
      </c>
      <c r="H717">
        <v>8</v>
      </c>
      <c r="I717">
        <v>76</v>
      </c>
      <c r="J717">
        <v>90</v>
      </c>
      <c r="K717">
        <v>90</v>
      </c>
      <c r="L717">
        <v>11</v>
      </c>
      <c r="M717">
        <v>1</v>
      </c>
      <c r="N717">
        <v>100</v>
      </c>
      <c r="O717" s="2" t="str" cm="1">
        <f t="array" ref="O71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17" s="2" t="str" cm="1">
        <f t="array" ref="P717">_xlfn.IFS(Computed_insight___Success_of_active_sellers__2[[#This Row],[rating]]&gt;=4.5, "Excellent ", Computed_insight___Success_of_active_sellers__2[[#This Row],[rating]]&gt;=4, "Good ", Computed_insight___Success_of_active_sellers__2[[#This Row],[rating]]&gt;=3.5, "Average", TRUE, "Poor ")</f>
        <v>Average</v>
      </c>
      <c r="Q717" s="2" t="str" cm="1">
        <f t="array" ref="Q71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17" s="2" t="str">
        <f>IF(Computed_insight___Success_of_active_sellers__2[[#This Row],[totalurgencycount]]&gt;0, "Has Banner", "No Banner")</f>
        <v>Has Banner</v>
      </c>
    </row>
    <row r="718" spans="1:18" x14ac:dyDescent="0.3">
      <c r="A718">
        <v>716</v>
      </c>
      <c r="B718" t="s">
        <v>920</v>
      </c>
      <c r="C718">
        <v>1</v>
      </c>
      <c r="D718">
        <v>100</v>
      </c>
      <c r="E718">
        <v>100</v>
      </c>
      <c r="F718">
        <v>3.5449999999999999</v>
      </c>
      <c r="G718">
        <v>99</v>
      </c>
      <c r="H718">
        <v>11</v>
      </c>
      <c r="I718">
        <v>10</v>
      </c>
      <c r="J718">
        <v>-10</v>
      </c>
      <c r="K718">
        <v>-10</v>
      </c>
      <c r="L718">
        <v>26</v>
      </c>
      <c r="O718" s="2" t="str" cm="1">
        <f t="array" ref="O71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18" s="2" t="str" cm="1">
        <f t="array" ref="P718">_xlfn.IFS(Computed_insight___Success_of_active_sellers__2[[#This Row],[rating]]&gt;=4.5, "Excellent ", Computed_insight___Success_of_active_sellers__2[[#This Row],[rating]]&gt;=4, "Good ", Computed_insight___Success_of_active_sellers__2[[#This Row],[rating]]&gt;=3.5, "Average", TRUE, "Poor ")</f>
        <v>Average</v>
      </c>
      <c r="Q718" s="2" t="str" cm="1">
        <f t="array" ref="Q71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18" s="2" t="str">
        <f>IF(Computed_insight___Success_of_active_sellers__2[[#This Row],[totalurgencycount]]&gt;0, "Has Banner", "No Banner")</f>
        <v>No Banner</v>
      </c>
    </row>
    <row r="719" spans="1:18" x14ac:dyDescent="0.3">
      <c r="A719">
        <v>717</v>
      </c>
      <c r="B719" t="s">
        <v>661</v>
      </c>
      <c r="C719">
        <v>1</v>
      </c>
      <c r="D719">
        <v>100</v>
      </c>
      <c r="E719">
        <v>100</v>
      </c>
      <c r="F719">
        <v>3.5569999999999999</v>
      </c>
      <c r="G719">
        <v>88</v>
      </c>
      <c r="H719">
        <v>11</v>
      </c>
      <c r="I719">
        <v>10</v>
      </c>
      <c r="J719">
        <v>-10</v>
      </c>
      <c r="K719">
        <v>-10</v>
      </c>
      <c r="L719">
        <v>89</v>
      </c>
      <c r="O719" s="2" t="str" cm="1">
        <f t="array" ref="O71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19" s="2" t="str" cm="1">
        <f t="array" ref="P719">_xlfn.IFS(Computed_insight___Success_of_active_sellers__2[[#This Row],[rating]]&gt;=4.5, "Excellent ", Computed_insight___Success_of_active_sellers__2[[#This Row],[rating]]&gt;=4, "Good ", Computed_insight___Success_of_active_sellers__2[[#This Row],[rating]]&gt;=3.5, "Average", TRUE, "Poor ")</f>
        <v>Average</v>
      </c>
      <c r="Q719" s="2" t="str" cm="1">
        <f t="array" ref="Q71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19" s="2" t="str">
        <f>IF(Computed_insight___Success_of_active_sellers__2[[#This Row],[totalurgencycount]]&gt;0, "Has Banner", "No Banner")</f>
        <v>No Banner</v>
      </c>
    </row>
    <row r="720" spans="1:18" x14ac:dyDescent="0.3">
      <c r="A720">
        <v>718</v>
      </c>
      <c r="B720" t="s">
        <v>770</v>
      </c>
      <c r="C720">
        <v>1</v>
      </c>
      <c r="D720">
        <v>100</v>
      </c>
      <c r="E720">
        <v>100</v>
      </c>
      <c r="F720">
        <v>3.6110000000000002</v>
      </c>
      <c r="G720">
        <v>167</v>
      </c>
      <c r="H720">
        <v>2</v>
      </c>
      <c r="I720">
        <v>25</v>
      </c>
      <c r="J720">
        <v>92</v>
      </c>
      <c r="K720">
        <v>92</v>
      </c>
      <c r="L720">
        <v>58</v>
      </c>
      <c r="O720" s="2" t="str" cm="1">
        <f t="array" ref="O72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20" s="2" t="str" cm="1">
        <f t="array" ref="P720">_xlfn.IFS(Computed_insight___Success_of_active_sellers__2[[#This Row],[rating]]&gt;=4.5, "Excellent ", Computed_insight___Success_of_active_sellers__2[[#This Row],[rating]]&gt;=4, "Good ", Computed_insight___Success_of_active_sellers__2[[#This Row],[rating]]&gt;=3.5, "Average", TRUE, "Poor ")</f>
        <v>Average</v>
      </c>
      <c r="Q720" s="2" t="str" cm="1">
        <f t="array" ref="Q72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20" s="2" t="str">
        <f>IF(Computed_insight___Success_of_active_sellers__2[[#This Row],[totalurgencycount]]&gt;0, "Has Banner", "No Banner")</f>
        <v>No Banner</v>
      </c>
    </row>
    <row r="721" spans="1:18" x14ac:dyDescent="0.3">
      <c r="A721">
        <v>719</v>
      </c>
      <c r="B721" t="s">
        <v>725</v>
      </c>
      <c r="C721">
        <v>1</v>
      </c>
      <c r="D721">
        <v>100</v>
      </c>
      <c r="E721">
        <v>100</v>
      </c>
      <c r="F721">
        <v>3.625</v>
      </c>
      <c r="G721">
        <v>24</v>
      </c>
      <c r="H721">
        <v>7</v>
      </c>
      <c r="I721">
        <v>6</v>
      </c>
      <c r="J721">
        <v>-16</v>
      </c>
      <c r="K721">
        <v>-16</v>
      </c>
      <c r="L721">
        <v>20</v>
      </c>
      <c r="O721" s="2" t="str" cm="1">
        <f t="array" ref="O72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21" s="2" t="str" cm="1">
        <f t="array" ref="P721">_xlfn.IFS(Computed_insight___Success_of_active_sellers__2[[#This Row],[rating]]&gt;=4.5, "Excellent ", Computed_insight___Success_of_active_sellers__2[[#This Row],[rating]]&gt;=4, "Good ", Computed_insight___Success_of_active_sellers__2[[#This Row],[rating]]&gt;=3.5, "Average", TRUE, "Poor ")</f>
        <v>Average</v>
      </c>
      <c r="Q721" s="2" t="str" cm="1">
        <f t="array" ref="Q72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21" s="2" t="str">
        <f>IF(Computed_insight___Success_of_active_sellers__2[[#This Row],[totalurgencycount]]&gt;0, "Has Banner", "No Banner")</f>
        <v>No Banner</v>
      </c>
    </row>
    <row r="722" spans="1:18" x14ac:dyDescent="0.3">
      <c r="A722">
        <v>720</v>
      </c>
      <c r="B722" t="s">
        <v>237</v>
      </c>
      <c r="C722">
        <v>1</v>
      </c>
      <c r="D722">
        <v>100</v>
      </c>
      <c r="E722">
        <v>100</v>
      </c>
      <c r="F722">
        <v>3.6459999999999999</v>
      </c>
      <c r="G722">
        <v>99</v>
      </c>
      <c r="H722">
        <v>6</v>
      </c>
      <c r="I722">
        <v>26</v>
      </c>
      <c r="J722">
        <v>77</v>
      </c>
      <c r="K722">
        <v>77</v>
      </c>
      <c r="L722">
        <v>12</v>
      </c>
      <c r="M722">
        <v>1</v>
      </c>
      <c r="N722">
        <v>100</v>
      </c>
      <c r="O722" s="2" t="str" cm="1">
        <f t="array" ref="O72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22" s="2" t="str" cm="1">
        <f t="array" ref="P722">_xlfn.IFS(Computed_insight___Success_of_active_sellers__2[[#This Row],[rating]]&gt;=4.5, "Excellent ", Computed_insight___Success_of_active_sellers__2[[#This Row],[rating]]&gt;=4, "Good ", Computed_insight___Success_of_active_sellers__2[[#This Row],[rating]]&gt;=3.5, "Average", TRUE, "Poor ")</f>
        <v>Average</v>
      </c>
      <c r="Q722" s="2" t="str" cm="1">
        <f t="array" ref="Q72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22" s="2" t="str">
        <f>IF(Computed_insight___Success_of_active_sellers__2[[#This Row],[totalurgencycount]]&gt;0, "Has Banner", "No Banner")</f>
        <v>Has Banner</v>
      </c>
    </row>
    <row r="723" spans="1:18" x14ac:dyDescent="0.3">
      <c r="A723">
        <v>721</v>
      </c>
      <c r="B723" t="s">
        <v>573</v>
      </c>
      <c r="C723">
        <v>1</v>
      </c>
      <c r="D723">
        <v>100</v>
      </c>
      <c r="E723">
        <v>100</v>
      </c>
      <c r="F723">
        <v>3.6509999999999998</v>
      </c>
      <c r="G723">
        <v>1078</v>
      </c>
      <c r="H723">
        <v>9</v>
      </c>
      <c r="I723">
        <v>10</v>
      </c>
      <c r="J723">
        <v>10</v>
      </c>
      <c r="K723">
        <v>10</v>
      </c>
      <c r="L723">
        <v>51</v>
      </c>
      <c r="O723" s="2" t="str" cm="1">
        <f t="array" ref="O72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23" s="2" t="str" cm="1">
        <f t="array" ref="P723">_xlfn.IFS(Computed_insight___Success_of_active_sellers__2[[#This Row],[rating]]&gt;=4.5, "Excellent ", Computed_insight___Success_of_active_sellers__2[[#This Row],[rating]]&gt;=4, "Good ", Computed_insight___Success_of_active_sellers__2[[#This Row],[rating]]&gt;=3.5, "Average", TRUE, "Poor ")</f>
        <v>Average</v>
      </c>
      <c r="Q723" s="2" t="str" cm="1">
        <f t="array" ref="Q723">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723" s="2" t="str">
        <f>IF(Computed_insight___Success_of_active_sellers__2[[#This Row],[totalurgencycount]]&gt;0, "Has Banner", "No Banner")</f>
        <v>No Banner</v>
      </c>
    </row>
    <row r="724" spans="1:18" x14ac:dyDescent="0.3">
      <c r="A724">
        <v>722</v>
      </c>
      <c r="B724" t="s">
        <v>369</v>
      </c>
      <c r="C724">
        <v>1</v>
      </c>
      <c r="D724">
        <v>100</v>
      </c>
      <c r="E724">
        <v>100</v>
      </c>
      <c r="F724">
        <v>3.6829999999999998</v>
      </c>
      <c r="G724">
        <v>290</v>
      </c>
      <c r="H724">
        <v>8</v>
      </c>
      <c r="I724">
        <v>10</v>
      </c>
      <c r="J724">
        <v>20</v>
      </c>
      <c r="K724">
        <v>20</v>
      </c>
      <c r="L724">
        <v>18</v>
      </c>
      <c r="O724" s="2" t="str" cm="1">
        <f t="array" ref="O72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24" s="2" t="str" cm="1">
        <f t="array" ref="P724">_xlfn.IFS(Computed_insight___Success_of_active_sellers__2[[#This Row],[rating]]&gt;=4.5, "Excellent ", Computed_insight___Success_of_active_sellers__2[[#This Row],[rating]]&gt;=4, "Good ", Computed_insight___Success_of_active_sellers__2[[#This Row],[rating]]&gt;=3.5, "Average", TRUE, "Poor ")</f>
        <v>Average</v>
      </c>
      <c r="Q724" s="2" t="str" cm="1">
        <f t="array" ref="Q724">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724" s="2" t="str">
        <f>IF(Computed_insight___Success_of_active_sellers__2[[#This Row],[totalurgencycount]]&gt;0, "Has Banner", "No Banner")</f>
        <v>No Banner</v>
      </c>
    </row>
    <row r="725" spans="1:18" x14ac:dyDescent="0.3">
      <c r="A725">
        <v>723</v>
      </c>
      <c r="B725" t="s">
        <v>390</v>
      </c>
      <c r="C725">
        <v>1</v>
      </c>
      <c r="D725">
        <v>100</v>
      </c>
      <c r="E725">
        <v>100</v>
      </c>
      <c r="F725">
        <v>3.6890000000000001</v>
      </c>
      <c r="G725">
        <v>103</v>
      </c>
      <c r="H725">
        <v>11</v>
      </c>
      <c r="I725">
        <v>10</v>
      </c>
      <c r="J725">
        <v>-10</v>
      </c>
      <c r="K725">
        <v>-10</v>
      </c>
      <c r="L725">
        <v>39</v>
      </c>
      <c r="O725" s="2" t="str" cm="1">
        <f t="array" ref="O72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25" s="2" t="str" cm="1">
        <f t="array" ref="P725">_xlfn.IFS(Computed_insight___Success_of_active_sellers__2[[#This Row],[rating]]&gt;=4.5, "Excellent ", Computed_insight___Success_of_active_sellers__2[[#This Row],[rating]]&gt;=4, "Good ", Computed_insight___Success_of_active_sellers__2[[#This Row],[rating]]&gt;=3.5, "Average", TRUE, "Poor ")</f>
        <v>Average</v>
      </c>
      <c r="Q725" s="2" t="str" cm="1">
        <f t="array" ref="Q72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25" s="2" t="str">
        <f>IF(Computed_insight___Success_of_active_sellers__2[[#This Row],[totalurgencycount]]&gt;0, "Has Banner", "No Banner")</f>
        <v>No Banner</v>
      </c>
    </row>
    <row r="726" spans="1:18" x14ac:dyDescent="0.3">
      <c r="A726">
        <v>724</v>
      </c>
      <c r="B726" t="s">
        <v>741</v>
      </c>
      <c r="C726">
        <v>1</v>
      </c>
      <c r="D726">
        <v>100</v>
      </c>
      <c r="E726">
        <v>100</v>
      </c>
      <c r="F726">
        <v>3.6970000000000001</v>
      </c>
      <c r="G726">
        <v>10286</v>
      </c>
      <c r="H726">
        <v>11</v>
      </c>
      <c r="I726">
        <v>10</v>
      </c>
      <c r="J726">
        <v>-10</v>
      </c>
      <c r="K726">
        <v>-10</v>
      </c>
      <c r="L726">
        <v>4</v>
      </c>
      <c r="O726" s="2" t="str" cm="1">
        <f t="array" ref="O72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26" s="2" t="str" cm="1">
        <f t="array" ref="P726">_xlfn.IFS(Computed_insight___Success_of_active_sellers__2[[#This Row],[rating]]&gt;=4.5, "Excellent ", Computed_insight___Success_of_active_sellers__2[[#This Row],[rating]]&gt;=4, "Good ", Computed_insight___Success_of_active_sellers__2[[#This Row],[rating]]&gt;=3.5, "Average", TRUE, "Poor ")</f>
        <v>Average</v>
      </c>
      <c r="Q726" s="2" t="str" cm="1">
        <f t="array" ref="Q72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26" s="2" t="str">
        <f>IF(Computed_insight___Success_of_active_sellers__2[[#This Row],[totalurgencycount]]&gt;0, "Has Banner", "No Banner")</f>
        <v>No Banner</v>
      </c>
    </row>
    <row r="727" spans="1:18" x14ac:dyDescent="0.3">
      <c r="A727">
        <v>725</v>
      </c>
      <c r="B727" t="s">
        <v>316</v>
      </c>
      <c r="C727">
        <v>1</v>
      </c>
      <c r="D727">
        <v>100</v>
      </c>
      <c r="E727">
        <v>100</v>
      </c>
      <c r="F727">
        <v>3.7080000000000002</v>
      </c>
      <c r="G727">
        <v>849</v>
      </c>
      <c r="H727">
        <v>14</v>
      </c>
      <c r="I727">
        <v>84</v>
      </c>
      <c r="J727">
        <v>84</v>
      </c>
      <c r="K727">
        <v>84</v>
      </c>
      <c r="L727">
        <v>60</v>
      </c>
      <c r="O727" s="2" t="str" cm="1">
        <f t="array" ref="O72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27" s="2" t="str" cm="1">
        <f t="array" ref="P727">_xlfn.IFS(Computed_insight___Success_of_active_sellers__2[[#This Row],[rating]]&gt;=4.5, "Excellent ", Computed_insight___Success_of_active_sellers__2[[#This Row],[rating]]&gt;=4, "Good ", Computed_insight___Success_of_active_sellers__2[[#This Row],[rating]]&gt;=3.5, "Average", TRUE, "Poor ")</f>
        <v>Average</v>
      </c>
      <c r="Q727" s="2" t="str" cm="1">
        <f t="array" ref="Q72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27" s="2" t="str">
        <f>IF(Computed_insight___Success_of_active_sellers__2[[#This Row],[totalurgencycount]]&gt;0, "Has Banner", "No Banner")</f>
        <v>No Banner</v>
      </c>
    </row>
    <row r="728" spans="1:18" x14ac:dyDescent="0.3">
      <c r="A728">
        <v>726</v>
      </c>
      <c r="B728" t="s">
        <v>120</v>
      </c>
      <c r="C728">
        <v>1</v>
      </c>
      <c r="D728">
        <v>100</v>
      </c>
      <c r="E728">
        <v>100</v>
      </c>
      <c r="F728">
        <v>3.714</v>
      </c>
      <c r="G728">
        <v>49</v>
      </c>
      <c r="H728">
        <v>9</v>
      </c>
      <c r="I728">
        <v>56</v>
      </c>
      <c r="J728">
        <v>84</v>
      </c>
      <c r="K728">
        <v>84</v>
      </c>
      <c r="L728">
        <v>30</v>
      </c>
      <c r="O728" s="2" t="str" cm="1">
        <f t="array" ref="O72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28" s="2" t="str" cm="1">
        <f t="array" ref="P728">_xlfn.IFS(Computed_insight___Success_of_active_sellers__2[[#This Row],[rating]]&gt;=4.5, "Excellent ", Computed_insight___Success_of_active_sellers__2[[#This Row],[rating]]&gt;=4, "Good ", Computed_insight___Success_of_active_sellers__2[[#This Row],[rating]]&gt;=3.5, "Average", TRUE, "Poor ")</f>
        <v>Average</v>
      </c>
      <c r="Q728" s="2" t="str" cm="1">
        <f t="array" ref="Q72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28" s="2" t="str">
        <f>IF(Computed_insight___Success_of_active_sellers__2[[#This Row],[totalurgencycount]]&gt;0, "Has Banner", "No Banner")</f>
        <v>No Banner</v>
      </c>
    </row>
    <row r="729" spans="1:18" x14ac:dyDescent="0.3">
      <c r="A729">
        <v>727</v>
      </c>
      <c r="B729" t="s">
        <v>686</v>
      </c>
      <c r="C729">
        <v>1</v>
      </c>
      <c r="D729">
        <v>100</v>
      </c>
      <c r="E729">
        <v>100</v>
      </c>
      <c r="F729">
        <v>3.7210000000000001</v>
      </c>
      <c r="G729">
        <v>104</v>
      </c>
      <c r="H729">
        <v>5.79</v>
      </c>
      <c r="I729">
        <v>9</v>
      </c>
      <c r="J729">
        <v>36</v>
      </c>
      <c r="K729">
        <v>36</v>
      </c>
      <c r="L729">
        <v>53</v>
      </c>
      <c r="O729" s="2" t="str" cm="1">
        <f t="array" ref="O72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29" s="2" t="str" cm="1">
        <f t="array" ref="P729">_xlfn.IFS(Computed_insight___Success_of_active_sellers__2[[#This Row],[rating]]&gt;=4.5, "Excellent ", Computed_insight___Success_of_active_sellers__2[[#This Row],[rating]]&gt;=4, "Good ", Computed_insight___Success_of_active_sellers__2[[#This Row],[rating]]&gt;=3.5, "Average", TRUE, "Poor ")</f>
        <v>Average</v>
      </c>
      <c r="Q729" s="2" t="str" cm="1">
        <f t="array" ref="Q729">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729" s="2" t="str">
        <f>IF(Computed_insight___Success_of_active_sellers__2[[#This Row],[totalurgencycount]]&gt;0, "Has Banner", "No Banner")</f>
        <v>No Banner</v>
      </c>
    </row>
    <row r="730" spans="1:18" x14ac:dyDescent="0.3">
      <c r="A730">
        <v>728</v>
      </c>
      <c r="B730" t="s">
        <v>270</v>
      </c>
      <c r="C730">
        <v>1</v>
      </c>
      <c r="D730">
        <v>100</v>
      </c>
      <c r="E730">
        <v>100</v>
      </c>
      <c r="F730">
        <v>3.762</v>
      </c>
      <c r="G730">
        <v>151</v>
      </c>
      <c r="H730">
        <v>14</v>
      </c>
      <c r="I730">
        <v>104</v>
      </c>
      <c r="J730">
        <v>87</v>
      </c>
      <c r="K730">
        <v>87</v>
      </c>
      <c r="L730">
        <v>71</v>
      </c>
      <c r="O730" s="2" t="str" cm="1">
        <f t="array" ref="O73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30" s="2" t="str" cm="1">
        <f t="array" ref="P730">_xlfn.IFS(Computed_insight___Success_of_active_sellers__2[[#This Row],[rating]]&gt;=4.5, "Excellent ", Computed_insight___Success_of_active_sellers__2[[#This Row],[rating]]&gt;=4, "Good ", Computed_insight___Success_of_active_sellers__2[[#This Row],[rating]]&gt;=3.5, "Average", TRUE, "Poor ")</f>
        <v>Average</v>
      </c>
      <c r="Q730" s="2" t="str" cm="1">
        <f t="array" ref="Q73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30" s="2" t="str">
        <f>IF(Computed_insight___Success_of_active_sellers__2[[#This Row],[totalurgencycount]]&gt;0, "Has Banner", "No Banner")</f>
        <v>No Banner</v>
      </c>
    </row>
    <row r="731" spans="1:18" x14ac:dyDescent="0.3">
      <c r="A731">
        <v>729</v>
      </c>
      <c r="B731" t="s">
        <v>754</v>
      </c>
      <c r="C731">
        <v>1</v>
      </c>
      <c r="D731">
        <v>100</v>
      </c>
      <c r="E731">
        <v>100</v>
      </c>
      <c r="F731">
        <v>3.7730000000000001</v>
      </c>
      <c r="G731">
        <v>5595</v>
      </c>
      <c r="H731">
        <v>8</v>
      </c>
      <c r="I731">
        <v>7</v>
      </c>
      <c r="J731">
        <v>-14</v>
      </c>
      <c r="K731">
        <v>-14</v>
      </c>
      <c r="L731">
        <v>63</v>
      </c>
      <c r="O731" s="2" t="str" cm="1">
        <f t="array" ref="O73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31" s="2" t="str" cm="1">
        <f t="array" ref="P731">_xlfn.IFS(Computed_insight___Success_of_active_sellers__2[[#This Row],[rating]]&gt;=4.5, "Excellent ", Computed_insight___Success_of_active_sellers__2[[#This Row],[rating]]&gt;=4, "Good ", Computed_insight___Success_of_active_sellers__2[[#This Row],[rating]]&gt;=3.5, "Average", TRUE, "Poor ")</f>
        <v>Average</v>
      </c>
      <c r="Q731" s="2" t="str" cm="1">
        <f t="array" ref="Q73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31" s="2" t="str">
        <f>IF(Computed_insight___Success_of_active_sellers__2[[#This Row],[totalurgencycount]]&gt;0, "Has Banner", "No Banner")</f>
        <v>No Banner</v>
      </c>
    </row>
    <row r="732" spans="1:18" x14ac:dyDescent="0.3">
      <c r="A732">
        <v>730</v>
      </c>
      <c r="B732" t="s">
        <v>152</v>
      </c>
      <c r="C732">
        <v>1</v>
      </c>
      <c r="D732">
        <v>100</v>
      </c>
      <c r="E732">
        <v>100</v>
      </c>
      <c r="F732">
        <v>3.7730000000000001</v>
      </c>
      <c r="G732">
        <v>44</v>
      </c>
      <c r="H732">
        <v>7</v>
      </c>
      <c r="I732">
        <v>6</v>
      </c>
      <c r="J732">
        <v>-16</v>
      </c>
      <c r="K732">
        <v>-16</v>
      </c>
      <c r="L732">
        <v>21</v>
      </c>
      <c r="O732" s="2" t="str" cm="1">
        <f t="array" ref="O73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32" s="2" t="str" cm="1">
        <f t="array" ref="P732">_xlfn.IFS(Computed_insight___Success_of_active_sellers__2[[#This Row],[rating]]&gt;=4.5, "Excellent ", Computed_insight___Success_of_active_sellers__2[[#This Row],[rating]]&gt;=4, "Good ", Computed_insight___Success_of_active_sellers__2[[#This Row],[rating]]&gt;=3.5, "Average", TRUE, "Poor ")</f>
        <v>Average</v>
      </c>
      <c r="Q732" s="2" t="str" cm="1">
        <f t="array" ref="Q73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32" s="2" t="str">
        <f>IF(Computed_insight___Success_of_active_sellers__2[[#This Row],[totalurgencycount]]&gt;0, "Has Banner", "No Banner")</f>
        <v>No Banner</v>
      </c>
    </row>
    <row r="733" spans="1:18" x14ac:dyDescent="0.3">
      <c r="A733">
        <v>731</v>
      </c>
      <c r="B733" t="s">
        <v>600</v>
      </c>
      <c r="C733">
        <v>1</v>
      </c>
      <c r="D733">
        <v>100</v>
      </c>
      <c r="E733">
        <v>100</v>
      </c>
      <c r="F733">
        <v>3.774</v>
      </c>
      <c r="G733">
        <v>3245</v>
      </c>
      <c r="H733">
        <v>6</v>
      </c>
      <c r="I733">
        <v>11</v>
      </c>
      <c r="J733">
        <v>46</v>
      </c>
      <c r="K733">
        <v>46</v>
      </c>
      <c r="L733">
        <v>35</v>
      </c>
      <c r="O733" s="2" t="str" cm="1">
        <f t="array" ref="O73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33" s="2" t="str" cm="1">
        <f t="array" ref="P733">_xlfn.IFS(Computed_insight___Success_of_active_sellers__2[[#This Row],[rating]]&gt;=4.5, "Excellent ", Computed_insight___Success_of_active_sellers__2[[#This Row],[rating]]&gt;=4, "Good ", Computed_insight___Success_of_active_sellers__2[[#This Row],[rating]]&gt;=3.5, "Average", TRUE, "Poor ")</f>
        <v>Average</v>
      </c>
      <c r="Q733" s="2" t="str" cm="1">
        <f t="array" ref="Q733">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733" s="2" t="str">
        <f>IF(Computed_insight___Success_of_active_sellers__2[[#This Row],[totalurgencycount]]&gt;0, "Has Banner", "No Banner")</f>
        <v>No Banner</v>
      </c>
    </row>
    <row r="734" spans="1:18" x14ac:dyDescent="0.3">
      <c r="A734">
        <v>732</v>
      </c>
      <c r="B734" t="s">
        <v>659</v>
      </c>
      <c r="C734">
        <v>1</v>
      </c>
      <c r="D734">
        <v>100</v>
      </c>
      <c r="E734">
        <v>100</v>
      </c>
      <c r="F734">
        <v>3.7749999999999999</v>
      </c>
      <c r="G734">
        <v>111</v>
      </c>
      <c r="H734">
        <v>13</v>
      </c>
      <c r="I734">
        <v>56</v>
      </c>
      <c r="J734">
        <v>77</v>
      </c>
      <c r="K734">
        <v>77</v>
      </c>
      <c r="L734">
        <v>20</v>
      </c>
      <c r="O734" s="2" t="str" cm="1">
        <f t="array" ref="O73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34" s="2" t="str" cm="1">
        <f t="array" ref="P734">_xlfn.IFS(Computed_insight___Success_of_active_sellers__2[[#This Row],[rating]]&gt;=4.5, "Excellent ", Computed_insight___Success_of_active_sellers__2[[#This Row],[rating]]&gt;=4, "Good ", Computed_insight___Success_of_active_sellers__2[[#This Row],[rating]]&gt;=3.5, "Average", TRUE, "Poor ")</f>
        <v>Average</v>
      </c>
      <c r="Q734" s="2" t="str" cm="1">
        <f t="array" ref="Q73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34" s="2" t="str">
        <f>IF(Computed_insight___Success_of_active_sellers__2[[#This Row],[totalurgencycount]]&gt;0, "Has Banner", "No Banner")</f>
        <v>No Banner</v>
      </c>
    </row>
    <row r="735" spans="1:18" x14ac:dyDescent="0.3">
      <c r="A735">
        <v>733</v>
      </c>
      <c r="B735" t="s">
        <v>806</v>
      </c>
      <c r="C735">
        <v>1</v>
      </c>
      <c r="D735">
        <v>100</v>
      </c>
      <c r="E735">
        <v>100</v>
      </c>
      <c r="F735">
        <v>3.7759999999999998</v>
      </c>
      <c r="G735">
        <v>116</v>
      </c>
      <c r="H735">
        <v>6</v>
      </c>
      <c r="I735">
        <v>6</v>
      </c>
      <c r="J735">
        <v>0</v>
      </c>
      <c r="K735">
        <v>0</v>
      </c>
      <c r="L735">
        <v>18</v>
      </c>
      <c r="O735" s="2" t="str" cm="1">
        <f t="array" ref="O73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35" s="2" t="str" cm="1">
        <f t="array" ref="P735">_xlfn.IFS(Computed_insight___Success_of_active_sellers__2[[#This Row],[rating]]&gt;=4.5, "Excellent ", Computed_insight___Success_of_active_sellers__2[[#This Row],[rating]]&gt;=4, "Good ", Computed_insight___Success_of_active_sellers__2[[#This Row],[rating]]&gt;=3.5, "Average", TRUE, "Poor ")</f>
        <v>Average</v>
      </c>
      <c r="Q735" s="2" t="str" cm="1">
        <f t="array" ref="Q73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35" s="2" t="str">
        <f>IF(Computed_insight___Success_of_active_sellers__2[[#This Row],[totalurgencycount]]&gt;0, "Has Banner", "No Banner")</f>
        <v>No Banner</v>
      </c>
    </row>
    <row r="736" spans="1:18" x14ac:dyDescent="0.3">
      <c r="A736">
        <v>734</v>
      </c>
      <c r="B736" t="s">
        <v>951</v>
      </c>
      <c r="C736">
        <v>1</v>
      </c>
      <c r="D736">
        <v>100</v>
      </c>
      <c r="E736">
        <v>100</v>
      </c>
      <c r="F736">
        <v>3.7789999999999999</v>
      </c>
      <c r="G736">
        <v>263</v>
      </c>
      <c r="H736">
        <v>7</v>
      </c>
      <c r="I736">
        <v>84</v>
      </c>
      <c r="J736">
        <v>92</v>
      </c>
      <c r="K736">
        <v>92</v>
      </c>
      <c r="L736">
        <v>46</v>
      </c>
      <c r="O736" s="2" t="str" cm="1">
        <f t="array" ref="O73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36" s="2" t="str" cm="1">
        <f t="array" ref="P736">_xlfn.IFS(Computed_insight___Success_of_active_sellers__2[[#This Row],[rating]]&gt;=4.5, "Excellent ", Computed_insight___Success_of_active_sellers__2[[#This Row],[rating]]&gt;=4, "Good ", Computed_insight___Success_of_active_sellers__2[[#This Row],[rating]]&gt;=3.5, "Average", TRUE, "Poor ")</f>
        <v>Average</v>
      </c>
      <c r="Q736" s="2" t="str" cm="1">
        <f t="array" ref="Q73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36" s="2" t="str">
        <f>IF(Computed_insight___Success_of_active_sellers__2[[#This Row],[totalurgencycount]]&gt;0, "Has Banner", "No Banner")</f>
        <v>No Banner</v>
      </c>
    </row>
    <row r="737" spans="1:18" x14ac:dyDescent="0.3">
      <c r="A737">
        <v>735</v>
      </c>
      <c r="B737" t="s">
        <v>10</v>
      </c>
      <c r="C737">
        <v>1</v>
      </c>
      <c r="D737">
        <v>100</v>
      </c>
      <c r="E737">
        <v>100</v>
      </c>
      <c r="F737">
        <v>3.8029999999999999</v>
      </c>
      <c r="G737">
        <v>330</v>
      </c>
      <c r="H737">
        <v>11</v>
      </c>
      <c r="I737">
        <v>84</v>
      </c>
      <c r="J737">
        <v>87</v>
      </c>
      <c r="K737">
        <v>87</v>
      </c>
      <c r="L737">
        <v>15</v>
      </c>
      <c r="M737">
        <v>1</v>
      </c>
      <c r="N737">
        <v>100</v>
      </c>
      <c r="O737" s="2" t="str" cm="1">
        <f t="array" ref="O73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37" s="2" t="str" cm="1">
        <f t="array" ref="P737">_xlfn.IFS(Computed_insight___Success_of_active_sellers__2[[#This Row],[rating]]&gt;=4.5, "Excellent ", Computed_insight___Success_of_active_sellers__2[[#This Row],[rating]]&gt;=4, "Good ", Computed_insight___Success_of_active_sellers__2[[#This Row],[rating]]&gt;=3.5, "Average", TRUE, "Poor ")</f>
        <v>Average</v>
      </c>
      <c r="Q737" s="2" t="str" cm="1">
        <f t="array" ref="Q73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37" s="2" t="str">
        <f>IF(Computed_insight___Success_of_active_sellers__2[[#This Row],[totalurgencycount]]&gt;0, "Has Banner", "No Banner")</f>
        <v>Has Banner</v>
      </c>
    </row>
    <row r="738" spans="1:18" x14ac:dyDescent="0.3">
      <c r="A738">
        <v>736</v>
      </c>
      <c r="B738" t="s">
        <v>197</v>
      </c>
      <c r="C738">
        <v>1</v>
      </c>
      <c r="D738">
        <v>100</v>
      </c>
      <c r="E738">
        <v>100</v>
      </c>
      <c r="F738">
        <v>3.8149999999999999</v>
      </c>
      <c r="G738">
        <v>610</v>
      </c>
      <c r="H738">
        <v>8</v>
      </c>
      <c r="I738">
        <v>7</v>
      </c>
      <c r="J738">
        <v>-14</v>
      </c>
      <c r="K738">
        <v>-14</v>
      </c>
      <c r="L738">
        <v>7</v>
      </c>
      <c r="O738" s="2" t="str" cm="1">
        <f t="array" ref="O73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38" s="2" t="str" cm="1">
        <f t="array" ref="P738">_xlfn.IFS(Computed_insight___Success_of_active_sellers__2[[#This Row],[rating]]&gt;=4.5, "Excellent ", Computed_insight___Success_of_active_sellers__2[[#This Row],[rating]]&gt;=4, "Good ", Computed_insight___Success_of_active_sellers__2[[#This Row],[rating]]&gt;=3.5, "Average", TRUE, "Poor ")</f>
        <v>Average</v>
      </c>
      <c r="Q738" s="2" t="str" cm="1">
        <f t="array" ref="Q73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38" s="2" t="str">
        <f>IF(Computed_insight___Success_of_active_sellers__2[[#This Row],[totalurgencycount]]&gt;0, "Has Banner", "No Banner")</f>
        <v>No Banner</v>
      </c>
    </row>
    <row r="739" spans="1:18" x14ac:dyDescent="0.3">
      <c r="A739">
        <v>737</v>
      </c>
      <c r="B739" t="s">
        <v>834</v>
      </c>
      <c r="C739">
        <v>1</v>
      </c>
      <c r="D739">
        <v>100</v>
      </c>
      <c r="E739">
        <v>100</v>
      </c>
      <c r="F739">
        <v>3.827</v>
      </c>
      <c r="G739">
        <v>75</v>
      </c>
      <c r="H739">
        <v>7</v>
      </c>
      <c r="I739">
        <v>6</v>
      </c>
      <c r="J739">
        <v>-16</v>
      </c>
      <c r="K739">
        <v>-16</v>
      </c>
      <c r="L739">
        <v>18</v>
      </c>
      <c r="M739">
        <v>1</v>
      </c>
      <c r="N739">
        <v>100</v>
      </c>
      <c r="O739" s="2" t="str" cm="1">
        <f t="array" ref="O73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39" s="2" t="str" cm="1">
        <f t="array" ref="P739">_xlfn.IFS(Computed_insight___Success_of_active_sellers__2[[#This Row],[rating]]&gt;=4.5, "Excellent ", Computed_insight___Success_of_active_sellers__2[[#This Row],[rating]]&gt;=4, "Good ", Computed_insight___Success_of_active_sellers__2[[#This Row],[rating]]&gt;=3.5, "Average", TRUE, "Poor ")</f>
        <v>Average</v>
      </c>
      <c r="Q739" s="2" t="str" cm="1">
        <f t="array" ref="Q73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39" s="2" t="str">
        <f>IF(Computed_insight___Success_of_active_sellers__2[[#This Row],[totalurgencycount]]&gt;0, "Has Banner", "No Banner")</f>
        <v>Has Banner</v>
      </c>
    </row>
    <row r="740" spans="1:18" x14ac:dyDescent="0.3">
      <c r="A740">
        <v>738</v>
      </c>
      <c r="B740" t="s">
        <v>466</v>
      </c>
      <c r="C740">
        <v>1</v>
      </c>
      <c r="D740">
        <v>100</v>
      </c>
      <c r="E740">
        <v>100</v>
      </c>
      <c r="F740">
        <v>3.8290000000000002</v>
      </c>
      <c r="G740">
        <v>37753</v>
      </c>
      <c r="H740">
        <v>16</v>
      </c>
      <c r="I740">
        <v>18</v>
      </c>
      <c r="J740">
        <v>12</v>
      </c>
      <c r="K740">
        <v>12</v>
      </c>
      <c r="L740">
        <v>69</v>
      </c>
      <c r="O740" s="2" t="str" cm="1">
        <f t="array" ref="O74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40" s="2" t="str" cm="1">
        <f t="array" ref="P740">_xlfn.IFS(Computed_insight___Success_of_active_sellers__2[[#This Row],[rating]]&gt;=4.5, "Excellent ", Computed_insight___Success_of_active_sellers__2[[#This Row],[rating]]&gt;=4, "Good ", Computed_insight___Success_of_active_sellers__2[[#This Row],[rating]]&gt;=3.5, "Average", TRUE, "Poor ")</f>
        <v>Average</v>
      </c>
      <c r="Q740" s="2" t="str" cm="1">
        <f t="array" ref="Q740">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740" s="2" t="str">
        <f>IF(Computed_insight___Success_of_active_sellers__2[[#This Row],[totalurgencycount]]&gt;0, "Has Banner", "No Banner")</f>
        <v>No Banner</v>
      </c>
    </row>
    <row r="741" spans="1:18" x14ac:dyDescent="0.3">
      <c r="A741">
        <v>739</v>
      </c>
      <c r="B741" t="s">
        <v>429</v>
      </c>
      <c r="C741">
        <v>1</v>
      </c>
      <c r="D741">
        <v>100</v>
      </c>
      <c r="E741">
        <v>100</v>
      </c>
      <c r="F741">
        <v>3.8330000000000002</v>
      </c>
      <c r="G741">
        <v>1129</v>
      </c>
      <c r="H741">
        <v>5.66</v>
      </c>
      <c r="I741">
        <v>5</v>
      </c>
      <c r="J741">
        <v>-13</v>
      </c>
      <c r="K741">
        <v>-13</v>
      </c>
      <c r="L741">
        <v>27</v>
      </c>
      <c r="O741" s="2" t="str" cm="1">
        <f t="array" ref="O74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41" s="2" t="str" cm="1">
        <f t="array" ref="P741">_xlfn.IFS(Computed_insight___Success_of_active_sellers__2[[#This Row],[rating]]&gt;=4.5, "Excellent ", Computed_insight___Success_of_active_sellers__2[[#This Row],[rating]]&gt;=4, "Good ", Computed_insight___Success_of_active_sellers__2[[#This Row],[rating]]&gt;=3.5, "Average", TRUE, "Poor ")</f>
        <v>Average</v>
      </c>
      <c r="Q741" s="2" t="str" cm="1">
        <f t="array" ref="Q74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41" s="2" t="str">
        <f>IF(Computed_insight___Success_of_active_sellers__2[[#This Row],[totalurgencycount]]&gt;0, "Has Banner", "No Banner")</f>
        <v>No Banner</v>
      </c>
    </row>
    <row r="742" spans="1:18" x14ac:dyDescent="0.3">
      <c r="A742">
        <v>740</v>
      </c>
      <c r="B742" t="s">
        <v>441</v>
      </c>
      <c r="C742">
        <v>1</v>
      </c>
      <c r="D742">
        <v>100</v>
      </c>
      <c r="E742">
        <v>100</v>
      </c>
      <c r="F742">
        <v>3.8380000000000001</v>
      </c>
      <c r="G742">
        <v>198</v>
      </c>
      <c r="H742">
        <v>8</v>
      </c>
      <c r="I742">
        <v>7</v>
      </c>
      <c r="J742">
        <v>-14</v>
      </c>
      <c r="K742">
        <v>-14</v>
      </c>
      <c r="L742">
        <v>42</v>
      </c>
      <c r="O742" s="2" t="str" cm="1">
        <f t="array" ref="O74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42" s="2" t="str" cm="1">
        <f t="array" ref="P742">_xlfn.IFS(Computed_insight___Success_of_active_sellers__2[[#This Row],[rating]]&gt;=4.5, "Excellent ", Computed_insight___Success_of_active_sellers__2[[#This Row],[rating]]&gt;=4, "Good ", Computed_insight___Success_of_active_sellers__2[[#This Row],[rating]]&gt;=3.5, "Average", TRUE, "Poor ")</f>
        <v>Average</v>
      </c>
      <c r="Q742" s="2" t="str" cm="1">
        <f t="array" ref="Q74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42" s="2" t="str">
        <f>IF(Computed_insight___Success_of_active_sellers__2[[#This Row],[totalurgencycount]]&gt;0, "Has Banner", "No Banner")</f>
        <v>No Banner</v>
      </c>
    </row>
    <row r="743" spans="1:18" x14ac:dyDescent="0.3">
      <c r="A743">
        <v>741</v>
      </c>
      <c r="B743" t="s">
        <v>408</v>
      </c>
      <c r="C743">
        <v>1</v>
      </c>
      <c r="D743">
        <v>100</v>
      </c>
      <c r="E743">
        <v>100</v>
      </c>
      <c r="F743">
        <v>3.851</v>
      </c>
      <c r="G743">
        <v>897</v>
      </c>
      <c r="H743">
        <v>15</v>
      </c>
      <c r="I743">
        <v>28</v>
      </c>
      <c r="J743">
        <v>47</v>
      </c>
      <c r="K743">
        <v>47</v>
      </c>
      <c r="L743">
        <v>69</v>
      </c>
      <c r="O743" s="2" t="str" cm="1">
        <f t="array" ref="O74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43" s="2" t="str" cm="1">
        <f t="array" ref="P743">_xlfn.IFS(Computed_insight___Success_of_active_sellers__2[[#This Row],[rating]]&gt;=4.5, "Excellent ", Computed_insight___Success_of_active_sellers__2[[#This Row],[rating]]&gt;=4, "Good ", Computed_insight___Success_of_active_sellers__2[[#This Row],[rating]]&gt;=3.5, "Average", TRUE, "Poor ")</f>
        <v>Average</v>
      </c>
      <c r="Q743" s="2" t="str" cm="1">
        <f t="array" ref="Q743">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743" s="2" t="str">
        <f>IF(Computed_insight___Success_of_active_sellers__2[[#This Row],[totalurgencycount]]&gt;0, "Has Banner", "No Banner")</f>
        <v>No Banner</v>
      </c>
    </row>
    <row r="744" spans="1:18" x14ac:dyDescent="0.3">
      <c r="A744">
        <v>742</v>
      </c>
      <c r="B744" t="s">
        <v>649</v>
      </c>
      <c r="C744">
        <v>1</v>
      </c>
      <c r="D744">
        <v>100</v>
      </c>
      <c r="E744">
        <v>100</v>
      </c>
      <c r="F744">
        <v>3.8559999999999999</v>
      </c>
      <c r="G744">
        <v>277</v>
      </c>
      <c r="H744">
        <v>3.69</v>
      </c>
      <c r="I744">
        <v>53</v>
      </c>
      <c r="J744">
        <v>94</v>
      </c>
      <c r="K744">
        <v>94</v>
      </c>
      <c r="L744">
        <v>11</v>
      </c>
      <c r="O744" s="2" t="str" cm="1">
        <f t="array" ref="O74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44" s="2" t="str" cm="1">
        <f t="array" ref="P744">_xlfn.IFS(Computed_insight___Success_of_active_sellers__2[[#This Row],[rating]]&gt;=4.5, "Excellent ", Computed_insight___Success_of_active_sellers__2[[#This Row],[rating]]&gt;=4, "Good ", Computed_insight___Success_of_active_sellers__2[[#This Row],[rating]]&gt;=3.5, "Average", TRUE, "Poor ")</f>
        <v>Average</v>
      </c>
      <c r="Q744" s="2" t="str" cm="1">
        <f t="array" ref="Q74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44" s="2" t="str">
        <f>IF(Computed_insight___Success_of_active_sellers__2[[#This Row],[totalurgencycount]]&gt;0, "Has Banner", "No Banner")</f>
        <v>No Banner</v>
      </c>
    </row>
    <row r="745" spans="1:18" x14ac:dyDescent="0.3">
      <c r="A745">
        <v>743</v>
      </c>
      <c r="B745" t="s">
        <v>272</v>
      </c>
      <c r="C745">
        <v>1</v>
      </c>
      <c r="D745">
        <v>100</v>
      </c>
      <c r="E745">
        <v>100</v>
      </c>
      <c r="F745">
        <v>3.8570000000000002</v>
      </c>
      <c r="G745">
        <v>7602</v>
      </c>
      <c r="H745">
        <v>7</v>
      </c>
      <c r="I745">
        <v>81</v>
      </c>
      <c r="J745">
        <v>92</v>
      </c>
      <c r="K745">
        <v>92</v>
      </c>
      <c r="L745">
        <v>23</v>
      </c>
      <c r="O745" s="2" t="str" cm="1">
        <f t="array" ref="O74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45" s="2" t="str" cm="1">
        <f t="array" ref="P745">_xlfn.IFS(Computed_insight___Success_of_active_sellers__2[[#This Row],[rating]]&gt;=4.5, "Excellent ", Computed_insight___Success_of_active_sellers__2[[#This Row],[rating]]&gt;=4, "Good ", Computed_insight___Success_of_active_sellers__2[[#This Row],[rating]]&gt;=3.5, "Average", TRUE, "Poor ")</f>
        <v>Average</v>
      </c>
      <c r="Q745" s="2" t="str" cm="1">
        <f t="array" ref="Q74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45" s="2" t="str">
        <f>IF(Computed_insight___Success_of_active_sellers__2[[#This Row],[totalurgencycount]]&gt;0, "Has Banner", "No Banner")</f>
        <v>No Banner</v>
      </c>
    </row>
    <row r="746" spans="1:18" x14ac:dyDescent="0.3">
      <c r="A746">
        <v>744</v>
      </c>
      <c r="B746" t="s">
        <v>810</v>
      </c>
      <c r="C746">
        <v>1</v>
      </c>
      <c r="D746">
        <v>100</v>
      </c>
      <c r="E746">
        <v>100</v>
      </c>
      <c r="F746">
        <v>3.8639999999999999</v>
      </c>
      <c r="G746">
        <v>1022</v>
      </c>
      <c r="H746">
        <v>13</v>
      </c>
      <c r="I746">
        <v>26</v>
      </c>
      <c r="J746">
        <v>50</v>
      </c>
      <c r="K746">
        <v>50</v>
      </c>
      <c r="L746">
        <v>37</v>
      </c>
      <c r="O746" s="2" t="str" cm="1">
        <f t="array" ref="O74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46" s="2" t="str" cm="1">
        <f t="array" ref="P746">_xlfn.IFS(Computed_insight___Success_of_active_sellers__2[[#This Row],[rating]]&gt;=4.5, "Excellent ", Computed_insight___Success_of_active_sellers__2[[#This Row],[rating]]&gt;=4, "Good ", Computed_insight___Success_of_active_sellers__2[[#This Row],[rating]]&gt;=3.5, "Average", TRUE, "Poor ")</f>
        <v>Average</v>
      </c>
      <c r="Q746" s="2" t="str" cm="1">
        <f t="array" ref="Q746">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746" s="2" t="str">
        <f>IF(Computed_insight___Success_of_active_sellers__2[[#This Row],[totalurgencycount]]&gt;0, "Has Banner", "No Banner")</f>
        <v>No Banner</v>
      </c>
    </row>
    <row r="747" spans="1:18" x14ac:dyDescent="0.3">
      <c r="A747">
        <v>745</v>
      </c>
      <c r="B747" t="s">
        <v>924</v>
      </c>
      <c r="C747">
        <v>1</v>
      </c>
      <c r="D747">
        <v>100</v>
      </c>
      <c r="E747">
        <v>100</v>
      </c>
      <c r="F747">
        <v>3.871</v>
      </c>
      <c r="G747">
        <v>58154</v>
      </c>
      <c r="H747">
        <v>8</v>
      </c>
      <c r="I747">
        <v>59</v>
      </c>
      <c r="J747">
        <v>87</v>
      </c>
      <c r="K747">
        <v>87</v>
      </c>
      <c r="L747">
        <v>45</v>
      </c>
      <c r="O747" s="2" t="str" cm="1">
        <f t="array" ref="O74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47" s="2" t="str" cm="1">
        <f t="array" ref="P747">_xlfn.IFS(Computed_insight___Success_of_active_sellers__2[[#This Row],[rating]]&gt;=4.5, "Excellent ", Computed_insight___Success_of_active_sellers__2[[#This Row],[rating]]&gt;=4, "Good ", Computed_insight___Success_of_active_sellers__2[[#This Row],[rating]]&gt;=3.5, "Average", TRUE, "Poor ")</f>
        <v>Average</v>
      </c>
      <c r="Q747" s="2" t="str" cm="1">
        <f t="array" ref="Q74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47" s="2" t="str">
        <f>IF(Computed_insight___Success_of_active_sellers__2[[#This Row],[totalurgencycount]]&gt;0, "Has Banner", "No Banner")</f>
        <v>No Banner</v>
      </c>
    </row>
    <row r="748" spans="1:18" x14ac:dyDescent="0.3">
      <c r="A748">
        <v>746</v>
      </c>
      <c r="B748" t="s">
        <v>68</v>
      </c>
      <c r="C748">
        <v>1</v>
      </c>
      <c r="D748">
        <v>100</v>
      </c>
      <c r="E748">
        <v>100</v>
      </c>
      <c r="F748">
        <v>3.8769999999999998</v>
      </c>
      <c r="G748">
        <v>50593</v>
      </c>
      <c r="H748">
        <v>8</v>
      </c>
      <c r="I748">
        <v>22</v>
      </c>
      <c r="J748">
        <v>64</v>
      </c>
      <c r="K748">
        <v>64</v>
      </c>
      <c r="L748">
        <v>47</v>
      </c>
      <c r="O748" s="2" t="str" cm="1">
        <f t="array" ref="O74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48" s="2" t="str" cm="1">
        <f t="array" ref="P748">_xlfn.IFS(Computed_insight___Success_of_active_sellers__2[[#This Row],[rating]]&gt;=4.5, "Excellent ", Computed_insight___Success_of_active_sellers__2[[#This Row],[rating]]&gt;=4, "Good ", Computed_insight___Success_of_active_sellers__2[[#This Row],[rating]]&gt;=3.5, "Average", TRUE, "Poor ")</f>
        <v>Average</v>
      </c>
      <c r="Q748" s="2" t="str" cm="1">
        <f t="array" ref="Q74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48" s="2" t="str">
        <f>IF(Computed_insight___Success_of_active_sellers__2[[#This Row],[totalurgencycount]]&gt;0, "Has Banner", "No Banner")</f>
        <v>No Banner</v>
      </c>
    </row>
    <row r="749" spans="1:18" x14ac:dyDescent="0.3">
      <c r="A749">
        <v>747</v>
      </c>
      <c r="B749" t="s">
        <v>443</v>
      </c>
      <c r="C749">
        <v>1</v>
      </c>
      <c r="D749">
        <v>100</v>
      </c>
      <c r="E749">
        <v>100</v>
      </c>
      <c r="F749">
        <v>3.89</v>
      </c>
      <c r="G749">
        <v>17612</v>
      </c>
      <c r="H749">
        <v>5</v>
      </c>
      <c r="I749">
        <v>75</v>
      </c>
      <c r="J749">
        <v>94</v>
      </c>
      <c r="K749">
        <v>94</v>
      </c>
      <c r="L749">
        <v>15</v>
      </c>
      <c r="M749">
        <v>1</v>
      </c>
      <c r="N749">
        <v>100</v>
      </c>
      <c r="O749" s="2" t="str" cm="1">
        <f t="array" ref="O74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49" s="2" t="str" cm="1">
        <f t="array" ref="P749">_xlfn.IFS(Computed_insight___Success_of_active_sellers__2[[#This Row],[rating]]&gt;=4.5, "Excellent ", Computed_insight___Success_of_active_sellers__2[[#This Row],[rating]]&gt;=4, "Good ", Computed_insight___Success_of_active_sellers__2[[#This Row],[rating]]&gt;=3.5, "Average", TRUE, "Poor ")</f>
        <v>Average</v>
      </c>
      <c r="Q749" s="2" t="str" cm="1">
        <f t="array" ref="Q74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49" s="2" t="str">
        <f>IF(Computed_insight___Success_of_active_sellers__2[[#This Row],[totalurgencycount]]&gt;0, "Has Banner", "No Banner")</f>
        <v>Has Banner</v>
      </c>
    </row>
    <row r="750" spans="1:18" x14ac:dyDescent="0.3">
      <c r="A750">
        <v>748</v>
      </c>
      <c r="B750" t="s">
        <v>867</v>
      </c>
      <c r="C750">
        <v>1</v>
      </c>
      <c r="D750">
        <v>100</v>
      </c>
      <c r="E750">
        <v>100</v>
      </c>
      <c r="F750">
        <v>3.891</v>
      </c>
      <c r="G750">
        <v>26018</v>
      </c>
      <c r="H750">
        <v>5</v>
      </c>
      <c r="I750">
        <v>9</v>
      </c>
      <c r="J750">
        <v>45</v>
      </c>
      <c r="K750">
        <v>45</v>
      </c>
      <c r="L750">
        <v>13</v>
      </c>
      <c r="O750" s="2" t="str" cm="1">
        <f t="array" ref="O75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50" s="2" t="str" cm="1">
        <f t="array" ref="P750">_xlfn.IFS(Computed_insight___Success_of_active_sellers__2[[#This Row],[rating]]&gt;=4.5, "Excellent ", Computed_insight___Success_of_active_sellers__2[[#This Row],[rating]]&gt;=4, "Good ", Computed_insight___Success_of_active_sellers__2[[#This Row],[rating]]&gt;=3.5, "Average", TRUE, "Poor ")</f>
        <v>Average</v>
      </c>
      <c r="Q750" s="2" t="str" cm="1">
        <f t="array" ref="Q750">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750" s="2" t="str">
        <f>IF(Computed_insight___Success_of_active_sellers__2[[#This Row],[totalurgencycount]]&gt;0, "Has Banner", "No Banner")</f>
        <v>No Banner</v>
      </c>
    </row>
    <row r="751" spans="1:18" x14ac:dyDescent="0.3">
      <c r="A751">
        <v>749</v>
      </c>
      <c r="B751" t="s">
        <v>63</v>
      </c>
      <c r="C751">
        <v>1</v>
      </c>
      <c r="D751">
        <v>100</v>
      </c>
      <c r="E751">
        <v>100</v>
      </c>
      <c r="F751">
        <v>3.8929999999999998</v>
      </c>
      <c r="G751">
        <v>224</v>
      </c>
      <c r="H751">
        <v>8</v>
      </c>
      <c r="I751">
        <v>10</v>
      </c>
      <c r="J751">
        <v>20</v>
      </c>
      <c r="K751">
        <v>20</v>
      </c>
      <c r="L751">
        <v>7</v>
      </c>
      <c r="O751" s="2" t="str" cm="1">
        <f t="array" ref="O75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51" s="2" t="str" cm="1">
        <f t="array" ref="P751">_xlfn.IFS(Computed_insight___Success_of_active_sellers__2[[#This Row],[rating]]&gt;=4.5, "Excellent ", Computed_insight___Success_of_active_sellers__2[[#This Row],[rating]]&gt;=4, "Good ", Computed_insight___Success_of_active_sellers__2[[#This Row],[rating]]&gt;=3.5, "Average", TRUE, "Poor ")</f>
        <v>Average</v>
      </c>
      <c r="Q751" s="2" t="str" cm="1">
        <f t="array" ref="Q751">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751" s="2" t="str">
        <f>IF(Computed_insight___Success_of_active_sellers__2[[#This Row],[totalurgencycount]]&gt;0, "Has Banner", "No Banner")</f>
        <v>No Banner</v>
      </c>
    </row>
    <row r="752" spans="1:18" x14ac:dyDescent="0.3">
      <c r="A752">
        <v>750</v>
      </c>
      <c r="B752" t="s">
        <v>735</v>
      </c>
      <c r="C752">
        <v>1</v>
      </c>
      <c r="D752">
        <v>100</v>
      </c>
      <c r="E752">
        <v>100</v>
      </c>
      <c r="F752">
        <v>3.8969999999999998</v>
      </c>
      <c r="G752">
        <v>2988</v>
      </c>
      <c r="H752">
        <v>6</v>
      </c>
      <c r="I752">
        <v>6</v>
      </c>
      <c r="J752">
        <v>0</v>
      </c>
      <c r="K752">
        <v>0</v>
      </c>
      <c r="L752">
        <v>15</v>
      </c>
      <c r="O752" s="2" t="str" cm="1">
        <f t="array" ref="O75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52" s="2" t="str" cm="1">
        <f t="array" ref="P752">_xlfn.IFS(Computed_insight___Success_of_active_sellers__2[[#This Row],[rating]]&gt;=4.5, "Excellent ", Computed_insight___Success_of_active_sellers__2[[#This Row],[rating]]&gt;=4, "Good ", Computed_insight___Success_of_active_sellers__2[[#This Row],[rating]]&gt;=3.5, "Average", TRUE, "Poor ")</f>
        <v>Average</v>
      </c>
      <c r="Q752" s="2" t="str" cm="1">
        <f t="array" ref="Q75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52" s="2" t="str">
        <f>IF(Computed_insight___Success_of_active_sellers__2[[#This Row],[totalurgencycount]]&gt;0, "Has Banner", "No Banner")</f>
        <v>No Banner</v>
      </c>
    </row>
    <row r="753" spans="1:18" x14ac:dyDescent="0.3">
      <c r="A753">
        <v>751</v>
      </c>
      <c r="B753" t="s">
        <v>842</v>
      </c>
      <c r="C753">
        <v>1</v>
      </c>
      <c r="D753">
        <v>100</v>
      </c>
      <c r="E753">
        <v>100</v>
      </c>
      <c r="F753">
        <v>3.8969999999999998</v>
      </c>
      <c r="G753">
        <v>107</v>
      </c>
      <c r="H753">
        <v>8</v>
      </c>
      <c r="I753">
        <v>7</v>
      </c>
      <c r="J753">
        <v>-14</v>
      </c>
      <c r="K753">
        <v>-14</v>
      </c>
      <c r="L753">
        <v>23</v>
      </c>
      <c r="M753">
        <v>1</v>
      </c>
      <c r="N753">
        <v>100</v>
      </c>
      <c r="O753" s="2" t="str" cm="1">
        <f t="array" ref="O75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53" s="2" t="str" cm="1">
        <f t="array" ref="P753">_xlfn.IFS(Computed_insight___Success_of_active_sellers__2[[#This Row],[rating]]&gt;=4.5, "Excellent ", Computed_insight___Success_of_active_sellers__2[[#This Row],[rating]]&gt;=4, "Good ", Computed_insight___Success_of_active_sellers__2[[#This Row],[rating]]&gt;=3.5, "Average", TRUE, "Poor ")</f>
        <v>Average</v>
      </c>
      <c r="Q753" s="2" t="str" cm="1">
        <f t="array" ref="Q75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53" s="2" t="str">
        <f>IF(Computed_insight___Success_of_active_sellers__2[[#This Row],[totalurgencycount]]&gt;0, "Has Banner", "No Banner")</f>
        <v>Has Banner</v>
      </c>
    </row>
    <row r="754" spans="1:18" x14ac:dyDescent="0.3">
      <c r="A754">
        <v>752</v>
      </c>
      <c r="B754" t="s">
        <v>744</v>
      </c>
      <c r="C754">
        <v>1</v>
      </c>
      <c r="D754">
        <v>100</v>
      </c>
      <c r="E754">
        <v>100</v>
      </c>
      <c r="F754">
        <v>3.8980000000000001</v>
      </c>
      <c r="G754">
        <v>16885</v>
      </c>
      <c r="H754">
        <v>14</v>
      </c>
      <c r="I754">
        <v>51</v>
      </c>
      <c r="J754">
        <v>73</v>
      </c>
      <c r="K754">
        <v>73</v>
      </c>
      <c r="L754">
        <v>36</v>
      </c>
      <c r="O754" s="2" t="str" cm="1">
        <f t="array" ref="O75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54" s="2" t="str" cm="1">
        <f t="array" ref="P754">_xlfn.IFS(Computed_insight___Success_of_active_sellers__2[[#This Row],[rating]]&gt;=4.5, "Excellent ", Computed_insight___Success_of_active_sellers__2[[#This Row],[rating]]&gt;=4, "Good ", Computed_insight___Success_of_active_sellers__2[[#This Row],[rating]]&gt;=3.5, "Average", TRUE, "Poor ")</f>
        <v>Average</v>
      </c>
      <c r="Q754" s="2" t="str" cm="1">
        <f t="array" ref="Q75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54" s="2" t="str">
        <f>IF(Computed_insight___Success_of_active_sellers__2[[#This Row],[totalurgencycount]]&gt;0, "Has Banner", "No Banner")</f>
        <v>No Banner</v>
      </c>
    </row>
    <row r="755" spans="1:18" x14ac:dyDescent="0.3">
      <c r="A755">
        <v>753</v>
      </c>
      <c r="B755" t="s">
        <v>333</v>
      </c>
      <c r="C755">
        <v>1</v>
      </c>
      <c r="D755">
        <v>100</v>
      </c>
      <c r="E755">
        <v>100</v>
      </c>
      <c r="F755">
        <v>3.899</v>
      </c>
      <c r="G755">
        <v>1373</v>
      </c>
      <c r="H755">
        <v>5.72</v>
      </c>
      <c r="I755">
        <v>9</v>
      </c>
      <c r="J755">
        <v>37</v>
      </c>
      <c r="K755">
        <v>37</v>
      </c>
      <c r="L755">
        <v>4</v>
      </c>
      <c r="O755" s="2" t="str" cm="1">
        <f t="array" ref="O75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55" s="2" t="str" cm="1">
        <f t="array" ref="P755">_xlfn.IFS(Computed_insight___Success_of_active_sellers__2[[#This Row],[rating]]&gt;=4.5, "Excellent ", Computed_insight___Success_of_active_sellers__2[[#This Row],[rating]]&gt;=4, "Good ", Computed_insight___Success_of_active_sellers__2[[#This Row],[rating]]&gt;=3.5, "Average", TRUE, "Poor ")</f>
        <v>Average</v>
      </c>
      <c r="Q755" s="2" t="str" cm="1">
        <f t="array" ref="Q755">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755" s="2" t="str">
        <f>IF(Computed_insight___Success_of_active_sellers__2[[#This Row],[totalurgencycount]]&gt;0, "Has Banner", "No Banner")</f>
        <v>No Banner</v>
      </c>
    </row>
    <row r="756" spans="1:18" x14ac:dyDescent="0.3">
      <c r="A756">
        <v>754</v>
      </c>
      <c r="B756" t="s">
        <v>651</v>
      </c>
      <c r="C756">
        <v>1</v>
      </c>
      <c r="D756">
        <v>100</v>
      </c>
      <c r="E756">
        <v>100</v>
      </c>
      <c r="F756">
        <v>3.9020000000000001</v>
      </c>
      <c r="G756">
        <v>173</v>
      </c>
      <c r="H756">
        <v>8</v>
      </c>
      <c r="I756">
        <v>85</v>
      </c>
      <c r="J756">
        <v>91</v>
      </c>
      <c r="K756">
        <v>91</v>
      </c>
      <c r="L756">
        <v>14</v>
      </c>
      <c r="O756" s="2" t="str" cm="1">
        <f t="array" ref="O75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56" s="2" t="str" cm="1">
        <f t="array" ref="P756">_xlfn.IFS(Computed_insight___Success_of_active_sellers__2[[#This Row],[rating]]&gt;=4.5, "Excellent ", Computed_insight___Success_of_active_sellers__2[[#This Row],[rating]]&gt;=4, "Good ", Computed_insight___Success_of_active_sellers__2[[#This Row],[rating]]&gt;=3.5, "Average", TRUE, "Poor ")</f>
        <v>Average</v>
      </c>
      <c r="Q756" s="2" t="str" cm="1">
        <f t="array" ref="Q75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56" s="2" t="str">
        <f>IF(Computed_insight___Success_of_active_sellers__2[[#This Row],[totalurgencycount]]&gt;0, "Has Banner", "No Banner")</f>
        <v>No Banner</v>
      </c>
    </row>
    <row r="757" spans="1:18" x14ac:dyDescent="0.3">
      <c r="A757">
        <v>755</v>
      </c>
      <c r="B757" t="s">
        <v>531</v>
      </c>
      <c r="C757">
        <v>1</v>
      </c>
      <c r="D757">
        <v>100</v>
      </c>
      <c r="E757">
        <v>100</v>
      </c>
      <c r="F757">
        <v>3.9089999999999998</v>
      </c>
      <c r="G757">
        <v>230</v>
      </c>
      <c r="H757">
        <v>14</v>
      </c>
      <c r="I757">
        <v>25</v>
      </c>
      <c r="J757">
        <v>44</v>
      </c>
      <c r="K757">
        <v>44</v>
      </c>
      <c r="L757">
        <v>50</v>
      </c>
      <c r="M757">
        <v>1</v>
      </c>
      <c r="N757">
        <v>100</v>
      </c>
      <c r="O757" s="2" t="str" cm="1">
        <f t="array" ref="O75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57" s="2" t="str" cm="1">
        <f t="array" ref="P757">_xlfn.IFS(Computed_insight___Success_of_active_sellers__2[[#This Row],[rating]]&gt;=4.5, "Excellent ", Computed_insight___Success_of_active_sellers__2[[#This Row],[rating]]&gt;=4, "Good ", Computed_insight___Success_of_active_sellers__2[[#This Row],[rating]]&gt;=3.5, "Average", TRUE, "Poor ")</f>
        <v>Average</v>
      </c>
      <c r="Q757" s="2" t="str" cm="1">
        <f t="array" ref="Q757">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757" s="2" t="str">
        <f>IF(Computed_insight___Success_of_active_sellers__2[[#This Row],[totalurgencycount]]&gt;0, "Has Banner", "No Banner")</f>
        <v>Has Banner</v>
      </c>
    </row>
    <row r="758" spans="1:18" x14ac:dyDescent="0.3">
      <c r="A758">
        <v>756</v>
      </c>
      <c r="B758" t="s">
        <v>609</v>
      </c>
      <c r="C758">
        <v>1</v>
      </c>
      <c r="D758">
        <v>100</v>
      </c>
      <c r="E758">
        <v>100</v>
      </c>
      <c r="F758">
        <v>3.91</v>
      </c>
      <c r="G758">
        <v>35679</v>
      </c>
      <c r="H758">
        <v>9</v>
      </c>
      <c r="I758">
        <v>84</v>
      </c>
      <c r="J758">
        <v>90</v>
      </c>
      <c r="K758">
        <v>90</v>
      </c>
      <c r="L758">
        <v>82</v>
      </c>
      <c r="O758" s="2" t="str" cm="1">
        <f t="array" ref="O75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58" s="2" t="str" cm="1">
        <f t="array" ref="P758">_xlfn.IFS(Computed_insight___Success_of_active_sellers__2[[#This Row],[rating]]&gt;=4.5, "Excellent ", Computed_insight___Success_of_active_sellers__2[[#This Row],[rating]]&gt;=4, "Good ", Computed_insight___Success_of_active_sellers__2[[#This Row],[rating]]&gt;=3.5, "Average", TRUE, "Poor ")</f>
        <v>Average</v>
      </c>
      <c r="Q758" s="2" t="str" cm="1">
        <f t="array" ref="Q75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58" s="2" t="str">
        <f>IF(Computed_insight___Success_of_active_sellers__2[[#This Row],[totalurgencycount]]&gt;0, "Has Banner", "No Banner")</f>
        <v>No Banner</v>
      </c>
    </row>
    <row r="759" spans="1:18" x14ac:dyDescent="0.3">
      <c r="A759">
        <v>757</v>
      </c>
      <c r="B759" t="s">
        <v>215</v>
      </c>
      <c r="C759">
        <v>1</v>
      </c>
      <c r="D759">
        <v>100</v>
      </c>
      <c r="E759">
        <v>100</v>
      </c>
      <c r="F759">
        <v>3.9169999999999998</v>
      </c>
      <c r="G759">
        <v>41623</v>
      </c>
      <c r="H759">
        <v>7</v>
      </c>
      <c r="I759">
        <v>33</v>
      </c>
      <c r="J759">
        <v>79</v>
      </c>
      <c r="K759">
        <v>79</v>
      </c>
      <c r="L759">
        <v>8</v>
      </c>
      <c r="O759" s="2" t="str" cm="1">
        <f t="array" ref="O75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59" s="2" t="str" cm="1">
        <f t="array" ref="P759">_xlfn.IFS(Computed_insight___Success_of_active_sellers__2[[#This Row],[rating]]&gt;=4.5, "Excellent ", Computed_insight___Success_of_active_sellers__2[[#This Row],[rating]]&gt;=4, "Good ", Computed_insight___Success_of_active_sellers__2[[#This Row],[rating]]&gt;=3.5, "Average", TRUE, "Poor ")</f>
        <v>Average</v>
      </c>
      <c r="Q759" s="2" t="str" cm="1">
        <f t="array" ref="Q75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59" s="2" t="str">
        <f>IF(Computed_insight___Success_of_active_sellers__2[[#This Row],[totalurgencycount]]&gt;0, "Has Banner", "No Banner")</f>
        <v>No Banner</v>
      </c>
    </row>
    <row r="760" spans="1:18" x14ac:dyDescent="0.3">
      <c r="A760">
        <v>758</v>
      </c>
      <c r="B760" t="s">
        <v>637</v>
      </c>
      <c r="C760">
        <v>1</v>
      </c>
      <c r="D760">
        <v>100</v>
      </c>
      <c r="E760">
        <v>100</v>
      </c>
      <c r="F760">
        <v>3.9180000000000001</v>
      </c>
      <c r="G760">
        <v>98</v>
      </c>
      <c r="H760">
        <v>5</v>
      </c>
      <c r="I760">
        <v>5</v>
      </c>
      <c r="J760">
        <v>0</v>
      </c>
      <c r="K760">
        <v>0</v>
      </c>
      <c r="L760">
        <v>25</v>
      </c>
      <c r="M760">
        <v>1</v>
      </c>
      <c r="N760">
        <v>100</v>
      </c>
      <c r="O760" s="2" t="str" cm="1">
        <f t="array" ref="O76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60" s="2" t="str" cm="1">
        <f t="array" ref="P760">_xlfn.IFS(Computed_insight___Success_of_active_sellers__2[[#This Row],[rating]]&gt;=4.5, "Excellent ", Computed_insight___Success_of_active_sellers__2[[#This Row],[rating]]&gt;=4, "Good ", Computed_insight___Success_of_active_sellers__2[[#This Row],[rating]]&gt;=3.5, "Average", TRUE, "Poor ")</f>
        <v>Average</v>
      </c>
      <c r="Q760" s="2" t="str" cm="1">
        <f t="array" ref="Q76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60" s="2" t="str">
        <f>IF(Computed_insight___Success_of_active_sellers__2[[#This Row],[totalurgencycount]]&gt;0, "Has Banner", "No Banner")</f>
        <v>Has Banner</v>
      </c>
    </row>
    <row r="761" spans="1:18" x14ac:dyDescent="0.3">
      <c r="A761">
        <v>759</v>
      </c>
      <c r="B761" t="s">
        <v>39</v>
      </c>
      <c r="C761">
        <v>1</v>
      </c>
      <c r="D761">
        <v>100</v>
      </c>
      <c r="E761">
        <v>100</v>
      </c>
      <c r="F761">
        <v>3.9209999999999998</v>
      </c>
      <c r="G761">
        <v>16741</v>
      </c>
      <c r="H761">
        <v>5.8</v>
      </c>
      <c r="I761">
        <v>8</v>
      </c>
      <c r="J761">
        <v>28</v>
      </c>
      <c r="K761">
        <v>28</v>
      </c>
      <c r="L761">
        <v>6</v>
      </c>
      <c r="O761" s="2" t="str" cm="1">
        <f t="array" ref="O76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61" s="2" t="str" cm="1">
        <f t="array" ref="P761">_xlfn.IFS(Computed_insight___Success_of_active_sellers__2[[#This Row],[rating]]&gt;=4.5, "Excellent ", Computed_insight___Success_of_active_sellers__2[[#This Row],[rating]]&gt;=4, "Good ", Computed_insight___Success_of_active_sellers__2[[#This Row],[rating]]&gt;=3.5, "Average", TRUE, "Poor ")</f>
        <v>Average</v>
      </c>
      <c r="Q761" s="2" t="str" cm="1">
        <f t="array" ref="Q761">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761" s="2" t="str">
        <f>IF(Computed_insight___Success_of_active_sellers__2[[#This Row],[totalurgencycount]]&gt;0, "Has Banner", "No Banner")</f>
        <v>No Banner</v>
      </c>
    </row>
    <row r="762" spans="1:18" x14ac:dyDescent="0.3">
      <c r="A762">
        <v>760</v>
      </c>
      <c r="B762" t="s">
        <v>656</v>
      </c>
      <c r="C762">
        <v>1</v>
      </c>
      <c r="D762">
        <v>100</v>
      </c>
      <c r="E762">
        <v>100</v>
      </c>
      <c r="F762">
        <v>3.923</v>
      </c>
      <c r="G762">
        <v>1643</v>
      </c>
      <c r="H762">
        <v>14</v>
      </c>
      <c r="I762">
        <v>12</v>
      </c>
      <c r="J762">
        <v>-16</v>
      </c>
      <c r="K762">
        <v>-16</v>
      </c>
      <c r="L762">
        <v>20</v>
      </c>
      <c r="M762">
        <v>1</v>
      </c>
      <c r="N762">
        <v>100</v>
      </c>
      <c r="O762" s="2" t="str" cm="1">
        <f t="array" ref="O76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62" s="2" t="str" cm="1">
        <f t="array" ref="P762">_xlfn.IFS(Computed_insight___Success_of_active_sellers__2[[#This Row],[rating]]&gt;=4.5, "Excellent ", Computed_insight___Success_of_active_sellers__2[[#This Row],[rating]]&gt;=4, "Good ", Computed_insight___Success_of_active_sellers__2[[#This Row],[rating]]&gt;=3.5, "Average", TRUE, "Poor ")</f>
        <v>Average</v>
      </c>
      <c r="Q762" s="2" t="str" cm="1">
        <f t="array" ref="Q76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62" s="2" t="str">
        <f>IF(Computed_insight___Success_of_active_sellers__2[[#This Row],[totalurgencycount]]&gt;0, "Has Banner", "No Banner")</f>
        <v>Has Banner</v>
      </c>
    </row>
    <row r="763" spans="1:18" x14ac:dyDescent="0.3">
      <c r="A763">
        <v>761</v>
      </c>
      <c r="B763" t="s">
        <v>511</v>
      </c>
      <c r="C763">
        <v>1</v>
      </c>
      <c r="D763">
        <v>100</v>
      </c>
      <c r="E763">
        <v>100</v>
      </c>
      <c r="F763">
        <v>3.9289999999999998</v>
      </c>
      <c r="G763">
        <v>3897</v>
      </c>
      <c r="H763">
        <v>6</v>
      </c>
      <c r="I763">
        <v>34</v>
      </c>
      <c r="J763">
        <v>83</v>
      </c>
      <c r="K763">
        <v>83</v>
      </c>
      <c r="L763">
        <v>10</v>
      </c>
      <c r="O763" s="2" t="str" cm="1">
        <f t="array" ref="O76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63" s="2" t="str" cm="1">
        <f t="array" ref="P763">_xlfn.IFS(Computed_insight___Success_of_active_sellers__2[[#This Row],[rating]]&gt;=4.5, "Excellent ", Computed_insight___Success_of_active_sellers__2[[#This Row],[rating]]&gt;=4, "Good ", Computed_insight___Success_of_active_sellers__2[[#This Row],[rating]]&gt;=3.5, "Average", TRUE, "Poor ")</f>
        <v>Average</v>
      </c>
      <c r="Q763" s="2" t="str" cm="1">
        <f t="array" ref="Q76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63" s="2" t="str">
        <f>IF(Computed_insight___Success_of_active_sellers__2[[#This Row],[totalurgencycount]]&gt;0, "Has Banner", "No Banner")</f>
        <v>No Banner</v>
      </c>
    </row>
    <row r="764" spans="1:18" x14ac:dyDescent="0.3">
      <c r="A764">
        <v>762</v>
      </c>
      <c r="B764" t="s">
        <v>263</v>
      </c>
      <c r="C764">
        <v>1</v>
      </c>
      <c r="D764">
        <v>100</v>
      </c>
      <c r="E764">
        <v>100</v>
      </c>
      <c r="F764">
        <v>3.931</v>
      </c>
      <c r="G764">
        <v>23161</v>
      </c>
      <c r="H764">
        <v>6</v>
      </c>
      <c r="I764">
        <v>6</v>
      </c>
      <c r="J764">
        <v>0</v>
      </c>
      <c r="K764">
        <v>0</v>
      </c>
      <c r="L764">
        <v>55</v>
      </c>
      <c r="O764" s="2" t="str" cm="1">
        <f t="array" ref="O76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64" s="2" t="str" cm="1">
        <f t="array" ref="P764">_xlfn.IFS(Computed_insight___Success_of_active_sellers__2[[#This Row],[rating]]&gt;=4.5, "Excellent ", Computed_insight___Success_of_active_sellers__2[[#This Row],[rating]]&gt;=4, "Good ", Computed_insight___Success_of_active_sellers__2[[#This Row],[rating]]&gt;=3.5, "Average", TRUE, "Poor ")</f>
        <v>Average</v>
      </c>
      <c r="Q764" s="2" t="str" cm="1">
        <f t="array" ref="Q76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64" s="2" t="str">
        <f>IF(Computed_insight___Success_of_active_sellers__2[[#This Row],[totalurgencycount]]&gt;0, "Has Banner", "No Banner")</f>
        <v>No Banner</v>
      </c>
    </row>
    <row r="765" spans="1:18" x14ac:dyDescent="0.3">
      <c r="A765">
        <v>763</v>
      </c>
      <c r="B765" t="s">
        <v>81</v>
      </c>
      <c r="C765">
        <v>1</v>
      </c>
      <c r="D765">
        <v>100</v>
      </c>
      <c r="E765">
        <v>100</v>
      </c>
      <c r="F765">
        <v>3.931</v>
      </c>
      <c r="G765">
        <v>2776</v>
      </c>
      <c r="H765">
        <v>6</v>
      </c>
      <c r="I765">
        <v>20</v>
      </c>
      <c r="J765">
        <v>70</v>
      </c>
      <c r="K765">
        <v>70</v>
      </c>
      <c r="L765">
        <v>13</v>
      </c>
      <c r="O765" s="2" t="str" cm="1">
        <f t="array" ref="O76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65" s="2" t="str" cm="1">
        <f t="array" ref="P765">_xlfn.IFS(Computed_insight___Success_of_active_sellers__2[[#This Row],[rating]]&gt;=4.5, "Excellent ", Computed_insight___Success_of_active_sellers__2[[#This Row],[rating]]&gt;=4, "Good ", Computed_insight___Success_of_active_sellers__2[[#This Row],[rating]]&gt;=3.5, "Average", TRUE, "Poor ")</f>
        <v>Average</v>
      </c>
      <c r="Q765" s="2" t="str" cm="1">
        <f t="array" ref="Q76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65" s="2" t="str">
        <f>IF(Computed_insight___Success_of_active_sellers__2[[#This Row],[totalurgencycount]]&gt;0, "Has Banner", "No Banner")</f>
        <v>No Banner</v>
      </c>
    </row>
    <row r="766" spans="1:18" x14ac:dyDescent="0.3">
      <c r="A766">
        <v>764</v>
      </c>
      <c r="B766" t="s">
        <v>836</v>
      </c>
      <c r="C766">
        <v>1</v>
      </c>
      <c r="D766">
        <v>100</v>
      </c>
      <c r="E766">
        <v>100</v>
      </c>
      <c r="F766">
        <v>3.9319999999999999</v>
      </c>
      <c r="G766">
        <v>88</v>
      </c>
      <c r="H766">
        <v>8</v>
      </c>
      <c r="I766">
        <v>7</v>
      </c>
      <c r="J766">
        <v>-14</v>
      </c>
      <c r="K766">
        <v>-14</v>
      </c>
      <c r="L766">
        <v>10</v>
      </c>
      <c r="O766" s="2" t="str" cm="1">
        <f t="array" ref="O76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66" s="2" t="str" cm="1">
        <f t="array" ref="P766">_xlfn.IFS(Computed_insight___Success_of_active_sellers__2[[#This Row],[rating]]&gt;=4.5, "Excellent ", Computed_insight___Success_of_active_sellers__2[[#This Row],[rating]]&gt;=4, "Good ", Computed_insight___Success_of_active_sellers__2[[#This Row],[rating]]&gt;=3.5, "Average", TRUE, "Poor ")</f>
        <v>Average</v>
      </c>
      <c r="Q766" s="2" t="str" cm="1">
        <f t="array" ref="Q76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66" s="2" t="str">
        <f>IF(Computed_insight___Success_of_active_sellers__2[[#This Row],[totalurgencycount]]&gt;0, "Has Banner", "No Banner")</f>
        <v>No Banner</v>
      </c>
    </row>
    <row r="767" spans="1:18" x14ac:dyDescent="0.3">
      <c r="A767">
        <v>765</v>
      </c>
      <c r="B767" t="s">
        <v>724</v>
      </c>
      <c r="C767">
        <v>1</v>
      </c>
      <c r="D767">
        <v>100</v>
      </c>
      <c r="E767">
        <v>100</v>
      </c>
      <c r="F767">
        <v>3.9340000000000002</v>
      </c>
      <c r="G767">
        <v>1770</v>
      </c>
      <c r="H767">
        <v>12</v>
      </c>
      <c r="I767">
        <v>11</v>
      </c>
      <c r="J767">
        <v>-9</v>
      </c>
      <c r="K767">
        <v>-9</v>
      </c>
      <c r="L767">
        <v>11</v>
      </c>
      <c r="O767" s="2" t="str" cm="1">
        <f t="array" ref="O76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67" s="2" t="str" cm="1">
        <f t="array" ref="P767">_xlfn.IFS(Computed_insight___Success_of_active_sellers__2[[#This Row],[rating]]&gt;=4.5, "Excellent ", Computed_insight___Success_of_active_sellers__2[[#This Row],[rating]]&gt;=4, "Good ", Computed_insight___Success_of_active_sellers__2[[#This Row],[rating]]&gt;=3.5, "Average", TRUE, "Poor ")</f>
        <v>Average</v>
      </c>
      <c r="Q767" s="2" t="str" cm="1">
        <f t="array" ref="Q76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67" s="2" t="str">
        <f>IF(Computed_insight___Success_of_active_sellers__2[[#This Row],[totalurgencycount]]&gt;0, "Has Banner", "No Banner")</f>
        <v>No Banner</v>
      </c>
    </row>
    <row r="768" spans="1:18" x14ac:dyDescent="0.3">
      <c r="A768">
        <v>766</v>
      </c>
      <c r="B768" t="s">
        <v>774</v>
      </c>
      <c r="C768">
        <v>1</v>
      </c>
      <c r="D768">
        <v>100</v>
      </c>
      <c r="E768">
        <v>100</v>
      </c>
      <c r="F768">
        <v>3.9369999999999998</v>
      </c>
      <c r="G768">
        <v>4572</v>
      </c>
      <c r="H768">
        <v>4</v>
      </c>
      <c r="I768">
        <v>4</v>
      </c>
      <c r="J768">
        <v>0</v>
      </c>
      <c r="K768">
        <v>0</v>
      </c>
      <c r="L768">
        <v>24</v>
      </c>
      <c r="M768">
        <v>1</v>
      </c>
      <c r="N768">
        <v>100</v>
      </c>
      <c r="O768" s="2" t="str" cm="1">
        <f t="array" ref="O76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68" s="2" t="str" cm="1">
        <f t="array" ref="P768">_xlfn.IFS(Computed_insight___Success_of_active_sellers__2[[#This Row],[rating]]&gt;=4.5, "Excellent ", Computed_insight___Success_of_active_sellers__2[[#This Row],[rating]]&gt;=4, "Good ", Computed_insight___Success_of_active_sellers__2[[#This Row],[rating]]&gt;=3.5, "Average", TRUE, "Poor ")</f>
        <v>Average</v>
      </c>
      <c r="Q768" s="2" t="str" cm="1">
        <f t="array" ref="Q76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68" s="2" t="str">
        <f>IF(Computed_insight___Success_of_active_sellers__2[[#This Row],[totalurgencycount]]&gt;0, "Has Banner", "No Banner")</f>
        <v>Has Banner</v>
      </c>
    </row>
    <row r="769" spans="1:18" x14ac:dyDescent="0.3">
      <c r="A769">
        <v>767</v>
      </c>
      <c r="B769" t="s">
        <v>664</v>
      </c>
      <c r="C769">
        <v>1</v>
      </c>
      <c r="D769">
        <v>100</v>
      </c>
      <c r="E769">
        <v>100</v>
      </c>
      <c r="F769">
        <v>3.9449999999999998</v>
      </c>
      <c r="G769">
        <v>613</v>
      </c>
      <c r="H769">
        <v>3.81</v>
      </c>
      <c r="I769">
        <v>25</v>
      </c>
      <c r="J769">
        <v>85</v>
      </c>
      <c r="K769">
        <v>85</v>
      </c>
      <c r="L769">
        <v>25</v>
      </c>
      <c r="O769" s="2" t="str" cm="1">
        <f t="array" ref="O76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69" s="2" t="str" cm="1">
        <f t="array" ref="P769">_xlfn.IFS(Computed_insight___Success_of_active_sellers__2[[#This Row],[rating]]&gt;=4.5, "Excellent ", Computed_insight___Success_of_active_sellers__2[[#This Row],[rating]]&gt;=4, "Good ", Computed_insight___Success_of_active_sellers__2[[#This Row],[rating]]&gt;=3.5, "Average", TRUE, "Poor ")</f>
        <v>Average</v>
      </c>
      <c r="Q769" s="2" t="str" cm="1">
        <f t="array" ref="Q76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69" s="2" t="str">
        <f>IF(Computed_insight___Success_of_active_sellers__2[[#This Row],[totalurgencycount]]&gt;0, "Has Banner", "No Banner")</f>
        <v>No Banner</v>
      </c>
    </row>
    <row r="770" spans="1:18" x14ac:dyDescent="0.3">
      <c r="A770">
        <v>768</v>
      </c>
      <c r="B770" t="s">
        <v>905</v>
      </c>
      <c r="C770">
        <v>1</v>
      </c>
      <c r="D770">
        <v>100</v>
      </c>
      <c r="E770">
        <v>100</v>
      </c>
      <c r="F770">
        <v>3.9449999999999998</v>
      </c>
      <c r="G770">
        <v>5988</v>
      </c>
      <c r="H770">
        <v>9</v>
      </c>
      <c r="I770">
        <v>8</v>
      </c>
      <c r="J770">
        <v>-12</v>
      </c>
      <c r="K770">
        <v>-12</v>
      </c>
      <c r="L770">
        <v>8</v>
      </c>
      <c r="O770" s="2" t="str" cm="1">
        <f t="array" ref="O77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70" s="2" t="str" cm="1">
        <f t="array" ref="P770">_xlfn.IFS(Computed_insight___Success_of_active_sellers__2[[#This Row],[rating]]&gt;=4.5, "Excellent ", Computed_insight___Success_of_active_sellers__2[[#This Row],[rating]]&gt;=4, "Good ", Computed_insight___Success_of_active_sellers__2[[#This Row],[rating]]&gt;=3.5, "Average", TRUE, "Poor ")</f>
        <v>Average</v>
      </c>
      <c r="Q770" s="2" t="str" cm="1">
        <f t="array" ref="Q77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70" s="2" t="str">
        <f>IF(Computed_insight___Success_of_active_sellers__2[[#This Row],[totalurgencycount]]&gt;0, "Has Banner", "No Banner")</f>
        <v>No Banner</v>
      </c>
    </row>
    <row r="771" spans="1:18" x14ac:dyDescent="0.3">
      <c r="A771">
        <v>769</v>
      </c>
      <c r="B771" t="s">
        <v>750</v>
      </c>
      <c r="C771">
        <v>1</v>
      </c>
      <c r="D771">
        <v>100</v>
      </c>
      <c r="E771">
        <v>100</v>
      </c>
      <c r="F771">
        <v>3.9489999999999998</v>
      </c>
      <c r="G771">
        <v>27964</v>
      </c>
      <c r="H771">
        <v>11</v>
      </c>
      <c r="I771">
        <v>13</v>
      </c>
      <c r="J771">
        <v>16</v>
      </c>
      <c r="K771">
        <v>16</v>
      </c>
      <c r="L771">
        <v>46</v>
      </c>
      <c r="O771" s="2" t="str" cm="1">
        <f t="array" ref="O77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71" s="2" t="str" cm="1">
        <f t="array" ref="P771">_xlfn.IFS(Computed_insight___Success_of_active_sellers__2[[#This Row],[rating]]&gt;=4.5, "Excellent ", Computed_insight___Success_of_active_sellers__2[[#This Row],[rating]]&gt;=4, "Good ", Computed_insight___Success_of_active_sellers__2[[#This Row],[rating]]&gt;=3.5, "Average", TRUE, "Poor ")</f>
        <v>Average</v>
      </c>
      <c r="Q771" s="2" t="str" cm="1">
        <f t="array" ref="Q771">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771" s="2" t="str">
        <f>IF(Computed_insight___Success_of_active_sellers__2[[#This Row],[totalurgencycount]]&gt;0, "Has Banner", "No Banner")</f>
        <v>No Banner</v>
      </c>
    </row>
    <row r="772" spans="1:18" x14ac:dyDescent="0.3">
      <c r="A772">
        <v>770</v>
      </c>
      <c r="B772" t="s">
        <v>362</v>
      </c>
      <c r="C772">
        <v>1</v>
      </c>
      <c r="D772">
        <v>100</v>
      </c>
      <c r="E772">
        <v>100</v>
      </c>
      <c r="F772">
        <v>3.95</v>
      </c>
      <c r="G772">
        <v>27764</v>
      </c>
      <c r="H772">
        <v>13</v>
      </c>
      <c r="I772">
        <v>25</v>
      </c>
      <c r="J772">
        <v>48</v>
      </c>
      <c r="K772">
        <v>48</v>
      </c>
      <c r="L772">
        <v>79</v>
      </c>
      <c r="M772">
        <v>1</v>
      </c>
      <c r="N772">
        <v>100</v>
      </c>
      <c r="O772" s="2" t="str" cm="1">
        <f t="array" ref="O77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72" s="2" t="str" cm="1">
        <f t="array" ref="P772">_xlfn.IFS(Computed_insight___Success_of_active_sellers__2[[#This Row],[rating]]&gt;=4.5, "Excellent ", Computed_insight___Success_of_active_sellers__2[[#This Row],[rating]]&gt;=4, "Good ", Computed_insight___Success_of_active_sellers__2[[#This Row],[rating]]&gt;=3.5, "Average", TRUE, "Poor ")</f>
        <v>Average</v>
      </c>
      <c r="Q772" s="2" t="str" cm="1">
        <f t="array" ref="Q772">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772" s="2" t="str">
        <f>IF(Computed_insight___Success_of_active_sellers__2[[#This Row],[totalurgencycount]]&gt;0, "Has Banner", "No Banner")</f>
        <v>Has Banner</v>
      </c>
    </row>
    <row r="773" spans="1:18" x14ac:dyDescent="0.3">
      <c r="A773">
        <v>771</v>
      </c>
      <c r="B773" t="s">
        <v>290</v>
      </c>
      <c r="C773">
        <v>1</v>
      </c>
      <c r="D773">
        <v>100</v>
      </c>
      <c r="E773">
        <v>100</v>
      </c>
      <c r="F773">
        <v>3.952</v>
      </c>
      <c r="G773">
        <v>1500</v>
      </c>
      <c r="H773">
        <v>3</v>
      </c>
      <c r="I773">
        <v>60</v>
      </c>
      <c r="J773">
        <v>95</v>
      </c>
      <c r="K773">
        <v>95</v>
      </c>
      <c r="L773">
        <v>28</v>
      </c>
      <c r="O773" s="2" t="str" cm="1">
        <f t="array" ref="O77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73" s="2" t="str" cm="1">
        <f t="array" ref="P773">_xlfn.IFS(Computed_insight___Success_of_active_sellers__2[[#This Row],[rating]]&gt;=4.5, "Excellent ", Computed_insight___Success_of_active_sellers__2[[#This Row],[rating]]&gt;=4, "Good ", Computed_insight___Success_of_active_sellers__2[[#This Row],[rating]]&gt;=3.5, "Average", TRUE, "Poor ")</f>
        <v>Average</v>
      </c>
      <c r="Q773" s="2" t="str" cm="1">
        <f t="array" ref="Q77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73" s="2" t="str">
        <f>IF(Computed_insight___Success_of_active_sellers__2[[#This Row],[totalurgencycount]]&gt;0, "Has Banner", "No Banner")</f>
        <v>No Banner</v>
      </c>
    </row>
    <row r="774" spans="1:18" x14ac:dyDescent="0.3">
      <c r="A774">
        <v>772</v>
      </c>
      <c r="B774" t="s">
        <v>486</v>
      </c>
      <c r="C774">
        <v>1</v>
      </c>
      <c r="D774">
        <v>100</v>
      </c>
      <c r="E774">
        <v>100</v>
      </c>
      <c r="F774">
        <v>3.9529999999999998</v>
      </c>
      <c r="G774">
        <v>11030</v>
      </c>
      <c r="H774">
        <v>8</v>
      </c>
      <c r="I774">
        <v>30</v>
      </c>
      <c r="J774">
        <v>74</v>
      </c>
      <c r="K774">
        <v>74</v>
      </c>
      <c r="L774">
        <v>34</v>
      </c>
      <c r="M774">
        <v>1</v>
      </c>
      <c r="N774">
        <v>100</v>
      </c>
      <c r="O774" s="2" t="str" cm="1">
        <f t="array" ref="O77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74" s="2" t="str" cm="1">
        <f t="array" ref="P774">_xlfn.IFS(Computed_insight___Success_of_active_sellers__2[[#This Row],[rating]]&gt;=4.5, "Excellent ", Computed_insight___Success_of_active_sellers__2[[#This Row],[rating]]&gt;=4, "Good ", Computed_insight___Success_of_active_sellers__2[[#This Row],[rating]]&gt;=3.5, "Average", TRUE, "Poor ")</f>
        <v>Average</v>
      </c>
      <c r="Q774" s="2" t="str" cm="1">
        <f t="array" ref="Q77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74" s="2" t="str">
        <f>IF(Computed_insight___Success_of_active_sellers__2[[#This Row],[totalurgencycount]]&gt;0, "Has Banner", "No Banner")</f>
        <v>Has Banner</v>
      </c>
    </row>
    <row r="775" spans="1:18" x14ac:dyDescent="0.3">
      <c r="A775">
        <v>773</v>
      </c>
      <c r="B775" t="s">
        <v>509</v>
      </c>
      <c r="C775">
        <v>1</v>
      </c>
      <c r="D775">
        <v>100</v>
      </c>
      <c r="E775">
        <v>100</v>
      </c>
      <c r="F775">
        <v>3.9550000000000001</v>
      </c>
      <c r="G775">
        <v>12016</v>
      </c>
      <c r="H775">
        <v>3</v>
      </c>
      <c r="I775">
        <v>26</v>
      </c>
      <c r="J775">
        <v>89</v>
      </c>
      <c r="K775">
        <v>89</v>
      </c>
      <c r="L775">
        <v>3</v>
      </c>
      <c r="O775" s="2" t="str" cm="1">
        <f t="array" ref="O77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75" s="2" t="str" cm="1">
        <f t="array" ref="P775">_xlfn.IFS(Computed_insight___Success_of_active_sellers__2[[#This Row],[rating]]&gt;=4.5, "Excellent ", Computed_insight___Success_of_active_sellers__2[[#This Row],[rating]]&gt;=4, "Good ", Computed_insight___Success_of_active_sellers__2[[#This Row],[rating]]&gt;=3.5, "Average", TRUE, "Poor ")</f>
        <v>Average</v>
      </c>
      <c r="Q775" s="2" t="str" cm="1">
        <f t="array" ref="Q77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75" s="2" t="str">
        <f>IF(Computed_insight___Success_of_active_sellers__2[[#This Row],[totalurgencycount]]&gt;0, "Has Banner", "No Banner")</f>
        <v>No Banner</v>
      </c>
    </row>
    <row r="776" spans="1:18" x14ac:dyDescent="0.3">
      <c r="A776">
        <v>774</v>
      </c>
      <c r="B776" t="s">
        <v>958</v>
      </c>
      <c r="C776">
        <v>1</v>
      </c>
      <c r="D776">
        <v>100</v>
      </c>
      <c r="E776">
        <v>100</v>
      </c>
      <c r="F776">
        <v>3.9620000000000002</v>
      </c>
      <c r="G776">
        <v>210</v>
      </c>
      <c r="H776">
        <v>5</v>
      </c>
      <c r="I776">
        <v>19</v>
      </c>
      <c r="J776">
        <v>74</v>
      </c>
      <c r="K776">
        <v>74</v>
      </c>
      <c r="L776">
        <v>59</v>
      </c>
      <c r="O776" s="2" t="str" cm="1">
        <f t="array" ref="O77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76" s="2" t="str" cm="1">
        <f t="array" ref="P776">_xlfn.IFS(Computed_insight___Success_of_active_sellers__2[[#This Row],[rating]]&gt;=4.5, "Excellent ", Computed_insight___Success_of_active_sellers__2[[#This Row],[rating]]&gt;=4, "Good ", Computed_insight___Success_of_active_sellers__2[[#This Row],[rating]]&gt;=3.5, "Average", TRUE, "Poor ")</f>
        <v>Average</v>
      </c>
      <c r="Q776" s="2" t="str" cm="1">
        <f t="array" ref="Q77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76" s="2" t="str">
        <f>IF(Computed_insight___Success_of_active_sellers__2[[#This Row],[totalurgencycount]]&gt;0, "Has Banner", "No Banner")</f>
        <v>No Banner</v>
      </c>
    </row>
    <row r="777" spans="1:18" x14ac:dyDescent="0.3">
      <c r="A777">
        <v>775</v>
      </c>
      <c r="B777" t="s">
        <v>865</v>
      </c>
      <c r="C777">
        <v>1</v>
      </c>
      <c r="D777">
        <v>100</v>
      </c>
      <c r="E777">
        <v>100</v>
      </c>
      <c r="F777">
        <v>3.9649999999999999</v>
      </c>
      <c r="G777">
        <v>36033</v>
      </c>
      <c r="H777">
        <v>8</v>
      </c>
      <c r="I777">
        <v>7</v>
      </c>
      <c r="J777">
        <v>-14</v>
      </c>
      <c r="K777">
        <v>-14</v>
      </c>
      <c r="L777">
        <v>19</v>
      </c>
      <c r="M777">
        <v>1</v>
      </c>
      <c r="N777">
        <v>100</v>
      </c>
      <c r="O777" s="2" t="str" cm="1">
        <f t="array" ref="O77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77" s="2" t="str" cm="1">
        <f t="array" ref="P777">_xlfn.IFS(Computed_insight___Success_of_active_sellers__2[[#This Row],[rating]]&gt;=4.5, "Excellent ", Computed_insight___Success_of_active_sellers__2[[#This Row],[rating]]&gt;=4, "Good ", Computed_insight___Success_of_active_sellers__2[[#This Row],[rating]]&gt;=3.5, "Average", TRUE, "Poor ")</f>
        <v>Average</v>
      </c>
      <c r="Q777" s="2" t="str" cm="1">
        <f t="array" ref="Q77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77" s="2" t="str">
        <f>IF(Computed_insight___Success_of_active_sellers__2[[#This Row],[totalurgencycount]]&gt;0, "Has Banner", "No Banner")</f>
        <v>Has Banner</v>
      </c>
    </row>
    <row r="778" spans="1:18" x14ac:dyDescent="0.3">
      <c r="A778">
        <v>776</v>
      </c>
      <c r="B778" t="s">
        <v>690</v>
      </c>
      <c r="C778">
        <v>1</v>
      </c>
      <c r="D778">
        <v>100</v>
      </c>
      <c r="E778">
        <v>100</v>
      </c>
      <c r="F778">
        <v>3.9670000000000001</v>
      </c>
      <c r="G778">
        <v>300</v>
      </c>
      <c r="H778">
        <v>9</v>
      </c>
      <c r="I778">
        <v>8</v>
      </c>
      <c r="J778">
        <v>-12</v>
      </c>
      <c r="K778">
        <v>-12</v>
      </c>
      <c r="L778">
        <v>46</v>
      </c>
      <c r="O778" s="2" t="str" cm="1">
        <f t="array" ref="O77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78" s="2" t="str" cm="1">
        <f t="array" ref="P778">_xlfn.IFS(Computed_insight___Success_of_active_sellers__2[[#This Row],[rating]]&gt;=4.5, "Excellent ", Computed_insight___Success_of_active_sellers__2[[#This Row],[rating]]&gt;=4, "Good ", Computed_insight___Success_of_active_sellers__2[[#This Row],[rating]]&gt;=3.5, "Average", TRUE, "Poor ")</f>
        <v>Average</v>
      </c>
      <c r="Q778" s="2" t="str" cm="1">
        <f t="array" ref="Q77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78" s="2" t="str">
        <f>IF(Computed_insight___Success_of_active_sellers__2[[#This Row],[totalurgencycount]]&gt;0, "Has Banner", "No Banner")</f>
        <v>No Banner</v>
      </c>
    </row>
    <row r="779" spans="1:18" x14ac:dyDescent="0.3">
      <c r="A779">
        <v>777</v>
      </c>
      <c r="B779" t="s">
        <v>915</v>
      </c>
      <c r="C779">
        <v>1</v>
      </c>
      <c r="D779">
        <v>100</v>
      </c>
      <c r="E779">
        <v>100</v>
      </c>
      <c r="F779">
        <v>3.968</v>
      </c>
      <c r="G779">
        <v>185</v>
      </c>
      <c r="H779">
        <v>1.67</v>
      </c>
      <c r="I779">
        <v>2</v>
      </c>
      <c r="J779">
        <v>17</v>
      </c>
      <c r="K779">
        <v>17</v>
      </c>
      <c r="L779">
        <v>32</v>
      </c>
      <c r="O779" s="2" t="str" cm="1">
        <f t="array" ref="O77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79" s="2" t="str" cm="1">
        <f t="array" ref="P779">_xlfn.IFS(Computed_insight___Success_of_active_sellers__2[[#This Row],[rating]]&gt;=4.5, "Excellent ", Computed_insight___Success_of_active_sellers__2[[#This Row],[rating]]&gt;=4, "Good ", Computed_insight___Success_of_active_sellers__2[[#This Row],[rating]]&gt;=3.5, "Average", TRUE, "Poor ")</f>
        <v>Average</v>
      </c>
      <c r="Q779" s="2" t="str" cm="1">
        <f t="array" ref="Q779">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779" s="2" t="str">
        <f>IF(Computed_insight___Success_of_active_sellers__2[[#This Row],[totalurgencycount]]&gt;0, "Has Banner", "No Banner")</f>
        <v>No Banner</v>
      </c>
    </row>
    <row r="780" spans="1:18" x14ac:dyDescent="0.3">
      <c r="A780">
        <v>778</v>
      </c>
      <c r="B780" t="s">
        <v>162</v>
      </c>
      <c r="C780">
        <v>1</v>
      </c>
      <c r="D780">
        <v>100</v>
      </c>
      <c r="E780">
        <v>100</v>
      </c>
      <c r="F780">
        <v>3.9750000000000001</v>
      </c>
      <c r="G780">
        <v>2869</v>
      </c>
      <c r="H780">
        <v>9</v>
      </c>
      <c r="I780">
        <v>8</v>
      </c>
      <c r="J780">
        <v>-12</v>
      </c>
      <c r="K780">
        <v>-12</v>
      </c>
      <c r="L780">
        <v>31</v>
      </c>
      <c r="O780" s="2" t="str" cm="1">
        <f t="array" ref="O78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80" s="2" t="str" cm="1">
        <f t="array" ref="P780">_xlfn.IFS(Computed_insight___Success_of_active_sellers__2[[#This Row],[rating]]&gt;=4.5, "Excellent ", Computed_insight___Success_of_active_sellers__2[[#This Row],[rating]]&gt;=4, "Good ", Computed_insight___Success_of_active_sellers__2[[#This Row],[rating]]&gt;=3.5, "Average", TRUE, "Poor ")</f>
        <v>Average</v>
      </c>
      <c r="Q780" s="2" t="str" cm="1">
        <f t="array" ref="Q78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80" s="2" t="str">
        <f>IF(Computed_insight___Success_of_active_sellers__2[[#This Row],[totalurgencycount]]&gt;0, "Has Banner", "No Banner")</f>
        <v>No Banner</v>
      </c>
    </row>
    <row r="781" spans="1:18" x14ac:dyDescent="0.3">
      <c r="A781">
        <v>779</v>
      </c>
      <c r="B781" t="s">
        <v>745</v>
      </c>
      <c r="C781">
        <v>1</v>
      </c>
      <c r="D781">
        <v>100</v>
      </c>
      <c r="E781">
        <v>100</v>
      </c>
      <c r="F781">
        <v>3.9750000000000001</v>
      </c>
      <c r="G781">
        <v>1284</v>
      </c>
      <c r="H781">
        <v>3</v>
      </c>
      <c r="I781">
        <v>7</v>
      </c>
      <c r="J781">
        <v>58</v>
      </c>
      <c r="K781">
        <v>58</v>
      </c>
      <c r="L781">
        <v>6</v>
      </c>
      <c r="O781" s="2" t="str" cm="1">
        <f t="array" ref="O78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81" s="2" t="str" cm="1">
        <f t="array" ref="P781">_xlfn.IFS(Computed_insight___Success_of_active_sellers__2[[#This Row],[rating]]&gt;=4.5, "Excellent ", Computed_insight___Success_of_active_sellers__2[[#This Row],[rating]]&gt;=4, "Good ", Computed_insight___Success_of_active_sellers__2[[#This Row],[rating]]&gt;=3.5, "Average", TRUE, "Poor ")</f>
        <v>Average</v>
      </c>
      <c r="Q781" s="2" t="str" cm="1">
        <f t="array" ref="Q78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81" s="2" t="str">
        <f>IF(Computed_insight___Success_of_active_sellers__2[[#This Row],[totalurgencycount]]&gt;0, "Has Banner", "No Banner")</f>
        <v>No Banner</v>
      </c>
    </row>
    <row r="782" spans="1:18" x14ac:dyDescent="0.3">
      <c r="A782">
        <v>780</v>
      </c>
      <c r="B782" t="s">
        <v>793</v>
      </c>
      <c r="C782">
        <v>1</v>
      </c>
      <c r="D782">
        <v>100</v>
      </c>
      <c r="E782">
        <v>100</v>
      </c>
      <c r="F782">
        <v>3.9820000000000002</v>
      </c>
      <c r="G782">
        <v>901</v>
      </c>
      <c r="H782">
        <v>16</v>
      </c>
      <c r="I782">
        <v>14</v>
      </c>
      <c r="J782">
        <v>-14</v>
      </c>
      <c r="K782">
        <v>-14</v>
      </c>
      <c r="L782">
        <v>18</v>
      </c>
      <c r="O782" s="2" t="str" cm="1">
        <f t="array" ref="O78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82" s="2" t="str" cm="1">
        <f t="array" ref="P782">_xlfn.IFS(Computed_insight___Success_of_active_sellers__2[[#This Row],[rating]]&gt;=4.5, "Excellent ", Computed_insight___Success_of_active_sellers__2[[#This Row],[rating]]&gt;=4, "Good ", Computed_insight___Success_of_active_sellers__2[[#This Row],[rating]]&gt;=3.5, "Average", TRUE, "Poor ")</f>
        <v>Average</v>
      </c>
      <c r="Q782" s="2" t="str" cm="1">
        <f t="array" ref="Q78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82" s="2" t="str">
        <f>IF(Computed_insight___Success_of_active_sellers__2[[#This Row],[totalurgencycount]]&gt;0, "Has Banner", "No Banner")</f>
        <v>No Banner</v>
      </c>
    </row>
    <row r="783" spans="1:18" x14ac:dyDescent="0.3">
      <c r="A783">
        <v>781</v>
      </c>
      <c r="B783" t="s">
        <v>710</v>
      </c>
      <c r="C783">
        <v>1</v>
      </c>
      <c r="D783">
        <v>100</v>
      </c>
      <c r="E783">
        <v>100</v>
      </c>
      <c r="F783">
        <v>3.988</v>
      </c>
      <c r="G783">
        <v>900</v>
      </c>
      <c r="H783">
        <v>2.65</v>
      </c>
      <c r="I783">
        <v>3</v>
      </c>
      <c r="J783">
        <v>12</v>
      </c>
      <c r="K783">
        <v>12</v>
      </c>
      <c r="L783">
        <v>33</v>
      </c>
      <c r="O783" s="2" t="str" cm="1">
        <f t="array" ref="O78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83" s="2" t="str" cm="1">
        <f t="array" ref="P783">_xlfn.IFS(Computed_insight___Success_of_active_sellers__2[[#This Row],[rating]]&gt;=4.5, "Excellent ", Computed_insight___Success_of_active_sellers__2[[#This Row],[rating]]&gt;=4, "Good ", Computed_insight___Success_of_active_sellers__2[[#This Row],[rating]]&gt;=3.5, "Average", TRUE, "Poor ")</f>
        <v>Average</v>
      </c>
      <c r="Q783" s="2" t="str" cm="1">
        <f t="array" ref="Q783">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783" s="2" t="str">
        <f>IF(Computed_insight___Success_of_active_sellers__2[[#This Row],[totalurgencycount]]&gt;0, "Has Banner", "No Banner")</f>
        <v>No Banner</v>
      </c>
    </row>
    <row r="784" spans="1:18" x14ac:dyDescent="0.3">
      <c r="A784">
        <v>782</v>
      </c>
      <c r="B784" t="s">
        <v>883</v>
      </c>
      <c r="C784">
        <v>1</v>
      </c>
      <c r="D784">
        <v>100</v>
      </c>
      <c r="E784">
        <v>100</v>
      </c>
      <c r="F784">
        <v>3.9929999999999999</v>
      </c>
      <c r="G784">
        <v>150</v>
      </c>
      <c r="H784">
        <v>5.89</v>
      </c>
      <c r="I784">
        <v>5</v>
      </c>
      <c r="J784">
        <v>-17</v>
      </c>
      <c r="K784">
        <v>-17</v>
      </c>
      <c r="L784">
        <v>48</v>
      </c>
      <c r="M784">
        <v>1</v>
      </c>
      <c r="N784">
        <v>100</v>
      </c>
      <c r="O784" s="2" t="str" cm="1">
        <f t="array" ref="O78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84" s="2" t="str" cm="1">
        <f t="array" ref="P784">_xlfn.IFS(Computed_insight___Success_of_active_sellers__2[[#This Row],[rating]]&gt;=4.5, "Excellent ", Computed_insight___Success_of_active_sellers__2[[#This Row],[rating]]&gt;=4, "Good ", Computed_insight___Success_of_active_sellers__2[[#This Row],[rating]]&gt;=3.5, "Average", TRUE, "Poor ")</f>
        <v>Average</v>
      </c>
      <c r="Q784" s="2" t="str" cm="1">
        <f t="array" ref="Q78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84" s="2" t="str">
        <f>IF(Computed_insight___Success_of_active_sellers__2[[#This Row],[totalurgencycount]]&gt;0, "Has Banner", "No Banner")</f>
        <v>Has Banner</v>
      </c>
    </row>
    <row r="785" spans="1:18" x14ac:dyDescent="0.3">
      <c r="A785">
        <v>783</v>
      </c>
      <c r="B785" t="s">
        <v>758</v>
      </c>
      <c r="C785">
        <v>1</v>
      </c>
      <c r="D785">
        <v>100</v>
      </c>
      <c r="E785">
        <v>100</v>
      </c>
      <c r="F785">
        <v>3.9969999999999999</v>
      </c>
      <c r="G785">
        <v>2435</v>
      </c>
      <c r="H785">
        <v>16</v>
      </c>
      <c r="I785">
        <v>33</v>
      </c>
      <c r="J785">
        <v>52</v>
      </c>
      <c r="K785">
        <v>52</v>
      </c>
      <c r="L785">
        <v>61</v>
      </c>
      <c r="M785">
        <v>1</v>
      </c>
      <c r="N785">
        <v>100</v>
      </c>
      <c r="O785" s="2" t="str" cm="1">
        <f t="array" ref="O78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85" s="2" t="str" cm="1">
        <f t="array" ref="P785">_xlfn.IFS(Computed_insight___Success_of_active_sellers__2[[#This Row],[rating]]&gt;=4.5, "Excellent ", Computed_insight___Success_of_active_sellers__2[[#This Row],[rating]]&gt;=4, "Good ", Computed_insight___Success_of_active_sellers__2[[#This Row],[rating]]&gt;=3.5, "Average", TRUE, "Poor ")</f>
        <v>Average</v>
      </c>
      <c r="Q785" s="2" t="str" cm="1">
        <f t="array" ref="Q78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85" s="2" t="str">
        <f>IF(Computed_insight___Success_of_active_sellers__2[[#This Row],[totalurgencycount]]&gt;0, "Has Banner", "No Banner")</f>
        <v>Has Banner</v>
      </c>
    </row>
    <row r="786" spans="1:18" x14ac:dyDescent="0.3">
      <c r="A786">
        <v>784</v>
      </c>
      <c r="B786" t="s">
        <v>897</v>
      </c>
      <c r="C786">
        <v>1</v>
      </c>
      <c r="D786">
        <v>100</v>
      </c>
      <c r="E786">
        <v>100</v>
      </c>
      <c r="F786">
        <v>4</v>
      </c>
      <c r="G786">
        <v>88</v>
      </c>
      <c r="H786">
        <v>7</v>
      </c>
      <c r="I786">
        <v>17</v>
      </c>
      <c r="J786">
        <v>59</v>
      </c>
      <c r="K786">
        <v>59</v>
      </c>
      <c r="L786">
        <v>27</v>
      </c>
      <c r="O786" s="2" t="str" cm="1">
        <f t="array" ref="O78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86" s="2" t="str" cm="1">
        <f t="array" ref="P786">_xlfn.IFS(Computed_insight___Success_of_active_sellers__2[[#This Row],[rating]]&gt;=4.5, "Excellent ", Computed_insight___Success_of_active_sellers__2[[#This Row],[rating]]&gt;=4, "Good ", Computed_insight___Success_of_active_sellers__2[[#This Row],[rating]]&gt;=3.5, "Average", TRUE, "Poor ")</f>
        <v xml:space="preserve">Good </v>
      </c>
      <c r="Q786" s="2" t="str" cm="1">
        <f t="array" ref="Q78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86" s="2" t="str">
        <f>IF(Computed_insight___Success_of_active_sellers__2[[#This Row],[totalurgencycount]]&gt;0, "Has Banner", "No Banner")</f>
        <v>No Banner</v>
      </c>
    </row>
    <row r="787" spans="1:18" x14ac:dyDescent="0.3">
      <c r="A787">
        <v>785</v>
      </c>
      <c r="B787" t="s">
        <v>156</v>
      </c>
      <c r="C787">
        <v>1</v>
      </c>
      <c r="D787">
        <v>100</v>
      </c>
      <c r="E787">
        <v>100</v>
      </c>
      <c r="F787">
        <v>4.0010000000000003</v>
      </c>
      <c r="G787">
        <v>5301</v>
      </c>
      <c r="H787">
        <v>12</v>
      </c>
      <c r="I787">
        <v>11</v>
      </c>
      <c r="J787">
        <v>-9</v>
      </c>
      <c r="K787">
        <v>-9</v>
      </c>
      <c r="L787">
        <v>3</v>
      </c>
      <c r="O787" s="2" t="str" cm="1">
        <f t="array" ref="O78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87" s="2" t="str" cm="1">
        <f t="array" ref="P787">_xlfn.IFS(Computed_insight___Success_of_active_sellers__2[[#This Row],[rating]]&gt;=4.5, "Excellent ", Computed_insight___Success_of_active_sellers__2[[#This Row],[rating]]&gt;=4, "Good ", Computed_insight___Success_of_active_sellers__2[[#This Row],[rating]]&gt;=3.5, "Average", TRUE, "Poor ")</f>
        <v xml:space="preserve">Good </v>
      </c>
      <c r="Q787" s="2" t="str" cm="1">
        <f t="array" ref="Q78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87" s="2" t="str">
        <f>IF(Computed_insight___Success_of_active_sellers__2[[#This Row],[totalurgencycount]]&gt;0, "Has Banner", "No Banner")</f>
        <v>No Banner</v>
      </c>
    </row>
    <row r="788" spans="1:18" x14ac:dyDescent="0.3">
      <c r="A788">
        <v>786</v>
      </c>
      <c r="B788" t="s">
        <v>367</v>
      </c>
      <c r="C788">
        <v>1</v>
      </c>
      <c r="D788">
        <v>100</v>
      </c>
      <c r="E788">
        <v>100</v>
      </c>
      <c r="F788">
        <v>4.0010000000000003</v>
      </c>
      <c r="G788">
        <v>17222</v>
      </c>
      <c r="H788">
        <v>11</v>
      </c>
      <c r="I788">
        <v>51</v>
      </c>
      <c r="J788">
        <v>79</v>
      </c>
      <c r="K788">
        <v>79</v>
      </c>
      <c r="L788">
        <v>4</v>
      </c>
      <c r="O788" s="2" t="str" cm="1">
        <f t="array" ref="O78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88" s="2" t="str" cm="1">
        <f t="array" ref="P788">_xlfn.IFS(Computed_insight___Success_of_active_sellers__2[[#This Row],[rating]]&gt;=4.5, "Excellent ", Computed_insight___Success_of_active_sellers__2[[#This Row],[rating]]&gt;=4, "Good ", Computed_insight___Success_of_active_sellers__2[[#This Row],[rating]]&gt;=3.5, "Average", TRUE, "Poor ")</f>
        <v xml:space="preserve">Good </v>
      </c>
      <c r="Q788" s="2" t="str" cm="1">
        <f t="array" ref="Q78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88" s="2" t="str">
        <f>IF(Computed_insight___Success_of_active_sellers__2[[#This Row],[totalurgencycount]]&gt;0, "Has Banner", "No Banner")</f>
        <v>No Banner</v>
      </c>
    </row>
    <row r="789" spans="1:18" x14ac:dyDescent="0.3">
      <c r="A789">
        <v>787</v>
      </c>
      <c r="B789" t="s">
        <v>655</v>
      </c>
      <c r="C789">
        <v>1</v>
      </c>
      <c r="D789">
        <v>100</v>
      </c>
      <c r="E789">
        <v>100</v>
      </c>
      <c r="F789">
        <v>4.0030000000000001</v>
      </c>
      <c r="G789">
        <v>3852</v>
      </c>
      <c r="H789">
        <v>5.73</v>
      </c>
      <c r="I789">
        <v>5</v>
      </c>
      <c r="J789">
        <v>-14</v>
      </c>
      <c r="K789">
        <v>-14</v>
      </c>
      <c r="L789">
        <v>63</v>
      </c>
      <c r="O789" s="2" t="str" cm="1">
        <f t="array" ref="O78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89" s="2" t="str" cm="1">
        <f t="array" ref="P789">_xlfn.IFS(Computed_insight___Success_of_active_sellers__2[[#This Row],[rating]]&gt;=4.5, "Excellent ", Computed_insight___Success_of_active_sellers__2[[#This Row],[rating]]&gt;=4, "Good ", Computed_insight___Success_of_active_sellers__2[[#This Row],[rating]]&gt;=3.5, "Average", TRUE, "Poor ")</f>
        <v xml:space="preserve">Good </v>
      </c>
      <c r="Q789" s="2" t="str" cm="1">
        <f t="array" ref="Q78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89" s="2" t="str">
        <f>IF(Computed_insight___Success_of_active_sellers__2[[#This Row],[totalurgencycount]]&gt;0, "Has Banner", "No Banner")</f>
        <v>No Banner</v>
      </c>
    </row>
    <row r="790" spans="1:18" x14ac:dyDescent="0.3">
      <c r="A790">
        <v>788</v>
      </c>
      <c r="B790" t="s">
        <v>629</v>
      </c>
      <c r="C790">
        <v>1</v>
      </c>
      <c r="D790">
        <v>100</v>
      </c>
      <c r="E790">
        <v>100</v>
      </c>
      <c r="F790">
        <v>4.0030000000000001</v>
      </c>
      <c r="G790">
        <v>1250</v>
      </c>
      <c r="H790">
        <v>1.72</v>
      </c>
      <c r="I790">
        <v>2</v>
      </c>
      <c r="J790">
        <v>14</v>
      </c>
      <c r="K790">
        <v>14</v>
      </c>
      <c r="L790">
        <v>13</v>
      </c>
      <c r="O790" s="2" t="str" cm="1">
        <f t="array" ref="O79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90" s="2" t="str" cm="1">
        <f t="array" ref="P790">_xlfn.IFS(Computed_insight___Success_of_active_sellers__2[[#This Row],[rating]]&gt;=4.5, "Excellent ", Computed_insight___Success_of_active_sellers__2[[#This Row],[rating]]&gt;=4, "Good ", Computed_insight___Success_of_active_sellers__2[[#This Row],[rating]]&gt;=3.5, "Average", TRUE, "Poor ")</f>
        <v xml:space="preserve">Good </v>
      </c>
      <c r="Q790" s="2" t="str" cm="1">
        <f t="array" ref="Q790">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790" s="2" t="str">
        <f>IF(Computed_insight___Success_of_active_sellers__2[[#This Row],[totalurgencycount]]&gt;0, "Has Banner", "No Banner")</f>
        <v>No Banner</v>
      </c>
    </row>
    <row r="791" spans="1:18" x14ac:dyDescent="0.3">
      <c r="A791">
        <v>789</v>
      </c>
      <c r="B791" t="s">
        <v>780</v>
      </c>
      <c r="C791">
        <v>1</v>
      </c>
      <c r="D791">
        <v>100</v>
      </c>
      <c r="E791">
        <v>100</v>
      </c>
      <c r="F791">
        <v>4.0049999999999999</v>
      </c>
      <c r="G791">
        <v>4955</v>
      </c>
      <c r="H791">
        <v>8</v>
      </c>
      <c r="I791">
        <v>9</v>
      </c>
      <c r="J791">
        <v>12</v>
      </c>
      <c r="K791">
        <v>12</v>
      </c>
      <c r="L791">
        <v>94</v>
      </c>
      <c r="O791" s="2" t="str" cm="1">
        <f t="array" ref="O79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91" s="2" t="str" cm="1">
        <f t="array" ref="P791">_xlfn.IFS(Computed_insight___Success_of_active_sellers__2[[#This Row],[rating]]&gt;=4.5, "Excellent ", Computed_insight___Success_of_active_sellers__2[[#This Row],[rating]]&gt;=4, "Good ", Computed_insight___Success_of_active_sellers__2[[#This Row],[rating]]&gt;=3.5, "Average", TRUE, "Poor ")</f>
        <v xml:space="preserve">Good </v>
      </c>
      <c r="Q791" s="2" t="str" cm="1">
        <f t="array" ref="Q791">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791" s="2" t="str">
        <f>IF(Computed_insight___Success_of_active_sellers__2[[#This Row],[totalurgencycount]]&gt;0, "Has Banner", "No Banner")</f>
        <v>No Banner</v>
      </c>
    </row>
    <row r="792" spans="1:18" x14ac:dyDescent="0.3">
      <c r="A792">
        <v>790</v>
      </c>
      <c r="B792" t="s">
        <v>716</v>
      </c>
      <c r="C792">
        <v>1</v>
      </c>
      <c r="D792">
        <v>100</v>
      </c>
      <c r="E792">
        <v>100</v>
      </c>
      <c r="F792">
        <v>4.0140000000000002</v>
      </c>
      <c r="G792">
        <v>5244</v>
      </c>
      <c r="H792">
        <v>12</v>
      </c>
      <c r="I792">
        <v>59</v>
      </c>
      <c r="J792">
        <v>80</v>
      </c>
      <c r="K792">
        <v>80</v>
      </c>
      <c r="L792">
        <v>64</v>
      </c>
      <c r="M792">
        <v>1</v>
      </c>
      <c r="N792">
        <v>100</v>
      </c>
      <c r="O792" s="2" t="str" cm="1">
        <f t="array" ref="O79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92" s="2" t="str" cm="1">
        <f t="array" ref="P792">_xlfn.IFS(Computed_insight___Success_of_active_sellers__2[[#This Row],[rating]]&gt;=4.5, "Excellent ", Computed_insight___Success_of_active_sellers__2[[#This Row],[rating]]&gt;=4, "Good ", Computed_insight___Success_of_active_sellers__2[[#This Row],[rating]]&gt;=3.5, "Average", TRUE, "Poor ")</f>
        <v xml:space="preserve">Good </v>
      </c>
      <c r="Q792" s="2" t="str" cm="1">
        <f t="array" ref="Q79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792" s="2" t="str">
        <f>IF(Computed_insight___Success_of_active_sellers__2[[#This Row],[totalurgencycount]]&gt;0, "Has Banner", "No Banner")</f>
        <v>Has Banner</v>
      </c>
    </row>
    <row r="793" spans="1:18" x14ac:dyDescent="0.3">
      <c r="A793">
        <v>791</v>
      </c>
      <c r="B793" t="s">
        <v>110</v>
      </c>
      <c r="C793">
        <v>1</v>
      </c>
      <c r="D793">
        <v>100</v>
      </c>
      <c r="E793">
        <v>100</v>
      </c>
      <c r="F793">
        <v>4.0149999999999997</v>
      </c>
      <c r="G793">
        <v>546</v>
      </c>
      <c r="H793">
        <v>11</v>
      </c>
      <c r="I793">
        <v>10</v>
      </c>
      <c r="J793">
        <v>-10</v>
      </c>
      <c r="K793">
        <v>-10</v>
      </c>
      <c r="L793">
        <v>12</v>
      </c>
      <c r="O793" s="2" t="str" cm="1">
        <f t="array" ref="O79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93" s="2" t="str" cm="1">
        <f t="array" ref="P793">_xlfn.IFS(Computed_insight___Success_of_active_sellers__2[[#This Row],[rating]]&gt;=4.5, "Excellent ", Computed_insight___Success_of_active_sellers__2[[#This Row],[rating]]&gt;=4, "Good ", Computed_insight___Success_of_active_sellers__2[[#This Row],[rating]]&gt;=3.5, "Average", TRUE, "Poor ")</f>
        <v xml:space="preserve">Good </v>
      </c>
      <c r="Q793" s="2" t="str" cm="1">
        <f t="array" ref="Q79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93" s="2" t="str">
        <f>IF(Computed_insight___Success_of_active_sellers__2[[#This Row],[totalurgencycount]]&gt;0, "Has Banner", "No Banner")</f>
        <v>No Banner</v>
      </c>
    </row>
    <row r="794" spans="1:18" x14ac:dyDescent="0.3">
      <c r="A794">
        <v>792</v>
      </c>
      <c r="B794" t="s">
        <v>277</v>
      </c>
      <c r="C794">
        <v>1</v>
      </c>
      <c r="D794">
        <v>100</v>
      </c>
      <c r="E794">
        <v>100</v>
      </c>
      <c r="F794">
        <v>4.0190000000000001</v>
      </c>
      <c r="G794">
        <v>746</v>
      </c>
      <c r="H794">
        <v>11</v>
      </c>
      <c r="I794">
        <v>22</v>
      </c>
      <c r="J794">
        <v>50</v>
      </c>
      <c r="K794">
        <v>50</v>
      </c>
      <c r="L794">
        <v>24</v>
      </c>
      <c r="O794" s="2" t="str" cm="1">
        <f t="array" ref="O79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94" s="2" t="str" cm="1">
        <f t="array" ref="P794">_xlfn.IFS(Computed_insight___Success_of_active_sellers__2[[#This Row],[rating]]&gt;=4.5, "Excellent ", Computed_insight___Success_of_active_sellers__2[[#This Row],[rating]]&gt;=4, "Good ", Computed_insight___Success_of_active_sellers__2[[#This Row],[rating]]&gt;=3.5, "Average", TRUE, "Poor ")</f>
        <v xml:space="preserve">Good </v>
      </c>
      <c r="Q794" s="2" t="str" cm="1">
        <f t="array" ref="Q794">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794" s="2" t="str">
        <f>IF(Computed_insight___Success_of_active_sellers__2[[#This Row],[totalurgencycount]]&gt;0, "Has Banner", "No Banner")</f>
        <v>No Banner</v>
      </c>
    </row>
    <row r="795" spans="1:18" x14ac:dyDescent="0.3">
      <c r="A795">
        <v>793</v>
      </c>
      <c r="B795" t="s">
        <v>42</v>
      </c>
      <c r="C795">
        <v>1</v>
      </c>
      <c r="D795">
        <v>100</v>
      </c>
      <c r="E795">
        <v>100</v>
      </c>
      <c r="F795">
        <v>4.0199999999999996</v>
      </c>
      <c r="G795">
        <v>196</v>
      </c>
      <c r="H795">
        <v>12</v>
      </c>
      <c r="I795">
        <v>14</v>
      </c>
      <c r="J795">
        <v>15</v>
      </c>
      <c r="K795">
        <v>15</v>
      </c>
      <c r="L795">
        <v>24</v>
      </c>
      <c r="O795" s="2" t="str" cm="1">
        <f t="array" ref="O79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95" s="2" t="str" cm="1">
        <f t="array" ref="P795">_xlfn.IFS(Computed_insight___Success_of_active_sellers__2[[#This Row],[rating]]&gt;=4.5, "Excellent ", Computed_insight___Success_of_active_sellers__2[[#This Row],[rating]]&gt;=4, "Good ", Computed_insight___Success_of_active_sellers__2[[#This Row],[rating]]&gt;=3.5, "Average", TRUE, "Poor ")</f>
        <v xml:space="preserve">Good </v>
      </c>
      <c r="Q795" s="2" t="str" cm="1">
        <f t="array" ref="Q795">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795" s="2" t="str">
        <f>IF(Computed_insight___Success_of_active_sellers__2[[#This Row],[totalurgencycount]]&gt;0, "Has Banner", "No Banner")</f>
        <v>No Banner</v>
      </c>
    </row>
    <row r="796" spans="1:18" x14ac:dyDescent="0.3">
      <c r="A796">
        <v>794</v>
      </c>
      <c r="B796" t="s">
        <v>430</v>
      </c>
      <c r="C796">
        <v>1</v>
      </c>
      <c r="D796">
        <v>100</v>
      </c>
      <c r="E796">
        <v>100</v>
      </c>
      <c r="F796">
        <v>4.0229999999999997</v>
      </c>
      <c r="G796">
        <v>4402</v>
      </c>
      <c r="H796">
        <v>9</v>
      </c>
      <c r="I796">
        <v>8</v>
      </c>
      <c r="J796">
        <v>-12</v>
      </c>
      <c r="K796">
        <v>-12</v>
      </c>
      <c r="L796">
        <v>10</v>
      </c>
      <c r="M796">
        <v>1</v>
      </c>
      <c r="N796">
        <v>100</v>
      </c>
      <c r="O796" s="2" t="str" cm="1">
        <f t="array" ref="O79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96" s="2" t="str" cm="1">
        <f t="array" ref="P796">_xlfn.IFS(Computed_insight___Success_of_active_sellers__2[[#This Row],[rating]]&gt;=4.5, "Excellent ", Computed_insight___Success_of_active_sellers__2[[#This Row],[rating]]&gt;=4, "Good ", Computed_insight___Success_of_active_sellers__2[[#This Row],[rating]]&gt;=3.5, "Average", TRUE, "Poor ")</f>
        <v xml:space="preserve">Good </v>
      </c>
      <c r="Q796" s="2" t="str" cm="1">
        <f t="array" ref="Q79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96" s="2" t="str">
        <f>IF(Computed_insight___Success_of_active_sellers__2[[#This Row],[totalurgencycount]]&gt;0, "Has Banner", "No Banner")</f>
        <v>Has Banner</v>
      </c>
    </row>
    <row r="797" spans="1:18" x14ac:dyDescent="0.3">
      <c r="A797">
        <v>795</v>
      </c>
      <c r="B797" t="s">
        <v>251</v>
      </c>
      <c r="C797">
        <v>1</v>
      </c>
      <c r="D797">
        <v>100</v>
      </c>
      <c r="E797">
        <v>100</v>
      </c>
      <c r="F797">
        <v>4.024</v>
      </c>
      <c r="G797">
        <v>1746</v>
      </c>
      <c r="H797">
        <v>11</v>
      </c>
      <c r="I797">
        <v>10</v>
      </c>
      <c r="J797">
        <v>-10</v>
      </c>
      <c r="K797">
        <v>-10</v>
      </c>
      <c r="L797">
        <v>22</v>
      </c>
      <c r="O797" s="2" t="str" cm="1">
        <f t="array" ref="O79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97" s="2" t="str" cm="1">
        <f t="array" ref="P797">_xlfn.IFS(Computed_insight___Success_of_active_sellers__2[[#This Row],[rating]]&gt;=4.5, "Excellent ", Computed_insight___Success_of_active_sellers__2[[#This Row],[rating]]&gt;=4, "Good ", Computed_insight___Success_of_active_sellers__2[[#This Row],[rating]]&gt;=3.5, "Average", TRUE, "Poor ")</f>
        <v xml:space="preserve">Good </v>
      </c>
      <c r="Q797" s="2" t="str" cm="1">
        <f t="array" ref="Q79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97" s="2" t="str">
        <f>IF(Computed_insight___Success_of_active_sellers__2[[#This Row],[totalurgencycount]]&gt;0, "Has Banner", "No Banner")</f>
        <v>No Banner</v>
      </c>
    </row>
    <row r="798" spans="1:18" x14ac:dyDescent="0.3">
      <c r="A798">
        <v>796</v>
      </c>
      <c r="B798" t="s">
        <v>654</v>
      </c>
      <c r="C798">
        <v>1</v>
      </c>
      <c r="D798">
        <v>100</v>
      </c>
      <c r="E798">
        <v>100</v>
      </c>
      <c r="F798">
        <v>4.0279999999999996</v>
      </c>
      <c r="G798">
        <v>17002</v>
      </c>
      <c r="H798">
        <v>12</v>
      </c>
      <c r="I798">
        <v>11</v>
      </c>
      <c r="J798">
        <v>-9</v>
      </c>
      <c r="K798">
        <v>-9</v>
      </c>
      <c r="L798">
        <v>104</v>
      </c>
      <c r="O798" s="2" t="str" cm="1">
        <f t="array" ref="O79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98" s="2" t="str" cm="1">
        <f t="array" ref="P798">_xlfn.IFS(Computed_insight___Success_of_active_sellers__2[[#This Row],[rating]]&gt;=4.5, "Excellent ", Computed_insight___Success_of_active_sellers__2[[#This Row],[rating]]&gt;=4, "Good ", Computed_insight___Success_of_active_sellers__2[[#This Row],[rating]]&gt;=3.5, "Average", TRUE, "Poor ")</f>
        <v xml:space="preserve">Good </v>
      </c>
      <c r="Q798" s="2" t="str" cm="1">
        <f t="array" ref="Q79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98" s="2" t="str">
        <f>IF(Computed_insight___Success_of_active_sellers__2[[#This Row],[totalurgencycount]]&gt;0, "Has Banner", "No Banner")</f>
        <v>No Banner</v>
      </c>
    </row>
    <row r="799" spans="1:18" x14ac:dyDescent="0.3">
      <c r="A799">
        <v>797</v>
      </c>
      <c r="B799" t="s">
        <v>728</v>
      </c>
      <c r="C799">
        <v>1</v>
      </c>
      <c r="D799">
        <v>100</v>
      </c>
      <c r="E799">
        <v>100</v>
      </c>
      <c r="F799">
        <v>4.03</v>
      </c>
      <c r="G799">
        <v>689</v>
      </c>
      <c r="H799">
        <v>2</v>
      </c>
      <c r="I799">
        <v>2</v>
      </c>
      <c r="J799">
        <v>0</v>
      </c>
      <c r="K799">
        <v>0</v>
      </c>
      <c r="L799">
        <v>58</v>
      </c>
      <c r="M799">
        <v>1</v>
      </c>
      <c r="N799">
        <v>100</v>
      </c>
      <c r="O799" s="2" t="str" cm="1">
        <f t="array" ref="O79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799" s="2" t="str" cm="1">
        <f t="array" ref="P799">_xlfn.IFS(Computed_insight___Success_of_active_sellers__2[[#This Row],[rating]]&gt;=4.5, "Excellent ", Computed_insight___Success_of_active_sellers__2[[#This Row],[rating]]&gt;=4, "Good ", Computed_insight___Success_of_active_sellers__2[[#This Row],[rating]]&gt;=3.5, "Average", TRUE, "Poor ")</f>
        <v xml:space="preserve">Good </v>
      </c>
      <c r="Q799" s="2" t="str" cm="1">
        <f t="array" ref="Q79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799" s="2" t="str">
        <f>IF(Computed_insight___Success_of_active_sellers__2[[#This Row],[totalurgencycount]]&gt;0, "Has Banner", "No Banner")</f>
        <v>Has Banner</v>
      </c>
    </row>
    <row r="800" spans="1:18" x14ac:dyDescent="0.3">
      <c r="A800">
        <v>798</v>
      </c>
      <c r="B800" t="s">
        <v>843</v>
      </c>
      <c r="C800">
        <v>1</v>
      </c>
      <c r="D800">
        <v>100</v>
      </c>
      <c r="E800">
        <v>100</v>
      </c>
      <c r="F800">
        <v>4.0350000000000001</v>
      </c>
      <c r="G800">
        <v>5311</v>
      </c>
      <c r="H800">
        <v>11</v>
      </c>
      <c r="I800">
        <v>84</v>
      </c>
      <c r="J800">
        <v>87</v>
      </c>
      <c r="K800">
        <v>87</v>
      </c>
      <c r="L800">
        <v>31</v>
      </c>
      <c r="O800" s="2" t="str" cm="1">
        <f t="array" ref="O80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00" s="2" t="str" cm="1">
        <f t="array" ref="P800">_xlfn.IFS(Computed_insight___Success_of_active_sellers__2[[#This Row],[rating]]&gt;=4.5, "Excellent ", Computed_insight___Success_of_active_sellers__2[[#This Row],[rating]]&gt;=4, "Good ", Computed_insight___Success_of_active_sellers__2[[#This Row],[rating]]&gt;=3.5, "Average", TRUE, "Poor ")</f>
        <v xml:space="preserve">Good </v>
      </c>
      <c r="Q800" s="2" t="str" cm="1">
        <f t="array" ref="Q80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00" s="2" t="str">
        <f>IF(Computed_insight___Success_of_active_sellers__2[[#This Row],[totalurgencycount]]&gt;0, "Has Banner", "No Banner")</f>
        <v>No Banner</v>
      </c>
    </row>
    <row r="801" spans="1:18" x14ac:dyDescent="0.3">
      <c r="A801">
        <v>799</v>
      </c>
      <c r="B801" t="s">
        <v>732</v>
      </c>
      <c r="C801">
        <v>1</v>
      </c>
      <c r="D801">
        <v>100</v>
      </c>
      <c r="E801">
        <v>100</v>
      </c>
      <c r="F801">
        <v>4.0389999999999997</v>
      </c>
      <c r="G801">
        <v>4836</v>
      </c>
      <c r="H801">
        <v>5</v>
      </c>
      <c r="I801">
        <v>11</v>
      </c>
      <c r="J801">
        <v>55</v>
      </c>
      <c r="K801">
        <v>55</v>
      </c>
      <c r="L801">
        <v>54</v>
      </c>
      <c r="O801" s="2" t="str" cm="1">
        <f t="array" ref="O80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01" s="2" t="str" cm="1">
        <f t="array" ref="P801">_xlfn.IFS(Computed_insight___Success_of_active_sellers__2[[#This Row],[rating]]&gt;=4.5, "Excellent ", Computed_insight___Success_of_active_sellers__2[[#This Row],[rating]]&gt;=4, "Good ", Computed_insight___Success_of_active_sellers__2[[#This Row],[rating]]&gt;=3.5, "Average", TRUE, "Poor ")</f>
        <v xml:space="preserve">Good </v>
      </c>
      <c r="Q801" s="2" t="str" cm="1">
        <f t="array" ref="Q80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01" s="2" t="str">
        <f>IF(Computed_insight___Success_of_active_sellers__2[[#This Row],[totalurgencycount]]&gt;0, "Has Banner", "No Banner")</f>
        <v>No Banner</v>
      </c>
    </row>
    <row r="802" spans="1:18" x14ac:dyDescent="0.3">
      <c r="A802">
        <v>800</v>
      </c>
      <c r="B802" t="s">
        <v>856</v>
      </c>
      <c r="C802">
        <v>1</v>
      </c>
      <c r="D802">
        <v>100</v>
      </c>
      <c r="E802">
        <v>100</v>
      </c>
      <c r="F802">
        <v>4.04</v>
      </c>
      <c r="G802">
        <v>11557</v>
      </c>
      <c r="H802">
        <v>8</v>
      </c>
      <c r="I802">
        <v>11</v>
      </c>
      <c r="J802">
        <v>28</v>
      </c>
      <c r="K802">
        <v>28</v>
      </c>
      <c r="L802">
        <v>91</v>
      </c>
      <c r="O802" s="2" t="str" cm="1">
        <f t="array" ref="O80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02" s="2" t="str" cm="1">
        <f t="array" ref="P802">_xlfn.IFS(Computed_insight___Success_of_active_sellers__2[[#This Row],[rating]]&gt;=4.5, "Excellent ", Computed_insight___Success_of_active_sellers__2[[#This Row],[rating]]&gt;=4, "Good ", Computed_insight___Success_of_active_sellers__2[[#This Row],[rating]]&gt;=3.5, "Average", TRUE, "Poor ")</f>
        <v xml:space="preserve">Good </v>
      </c>
      <c r="Q802" s="2" t="str" cm="1">
        <f t="array" ref="Q802">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802" s="2" t="str">
        <f>IF(Computed_insight___Success_of_active_sellers__2[[#This Row],[totalurgencycount]]&gt;0, "Has Banner", "No Banner")</f>
        <v>No Banner</v>
      </c>
    </row>
    <row r="803" spans="1:18" x14ac:dyDescent="0.3">
      <c r="A803">
        <v>801</v>
      </c>
      <c r="B803" t="s">
        <v>718</v>
      </c>
      <c r="C803">
        <v>1</v>
      </c>
      <c r="D803">
        <v>100</v>
      </c>
      <c r="E803">
        <v>100</v>
      </c>
      <c r="F803">
        <v>4.0410000000000004</v>
      </c>
      <c r="G803">
        <v>267</v>
      </c>
      <c r="H803">
        <v>9</v>
      </c>
      <c r="I803">
        <v>49</v>
      </c>
      <c r="J803">
        <v>82</v>
      </c>
      <c r="K803">
        <v>82</v>
      </c>
      <c r="L803">
        <v>109</v>
      </c>
      <c r="O803" s="2" t="str" cm="1">
        <f t="array" ref="O80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03" s="2" t="str" cm="1">
        <f t="array" ref="P803">_xlfn.IFS(Computed_insight___Success_of_active_sellers__2[[#This Row],[rating]]&gt;=4.5, "Excellent ", Computed_insight___Success_of_active_sellers__2[[#This Row],[rating]]&gt;=4, "Good ", Computed_insight___Success_of_active_sellers__2[[#This Row],[rating]]&gt;=3.5, "Average", TRUE, "Poor ")</f>
        <v xml:space="preserve">Good </v>
      </c>
      <c r="Q803" s="2" t="str" cm="1">
        <f t="array" ref="Q80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03" s="2" t="str">
        <f>IF(Computed_insight___Success_of_active_sellers__2[[#This Row],[totalurgencycount]]&gt;0, "Has Banner", "No Banner")</f>
        <v>No Banner</v>
      </c>
    </row>
    <row r="804" spans="1:18" x14ac:dyDescent="0.3">
      <c r="A804">
        <v>802</v>
      </c>
      <c r="B804" t="s">
        <v>937</v>
      </c>
      <c r="C804">
        <v>1</v>
      </c>
      <c r="D804">
        <v>100</v>
      </c>
      <c r="E804">
        <v>100</v>
      </c>
      <c r="F804">
        <v>4.0439999999999996</v>
      </c>
      <c r="G804">
        <v>16726</v>
      </c>
      <c r="H804">
        <v>16</v>
      </c>
      <c r="I804">
        <v>88</v>
      </c>
      <c r="J804">
        <v>82</v>
      </c>
      <c r="K804">
        <v>82</v>
      </c>
      <c r="L804">
        <v>9</v>
      </c>
      <c r="O804" s="2" t="str" cm="1">
        <f t="array" ref="O80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04" s="2" t="str" cm="1">
        <f t="array" ref="P804">_xlfn.IFS(Computed_insight___Success_of_active_sellers__2[[#This Row],[rating]]&gt;=4.5, "Excellent ", Computed_insight___Success_of_active_sellers__2[[#This Row],[rating]]&gt;=4, "Good ", Computed_insight___Success_of_active_sellers__2[[#This Row],[rating]]&gt;=3.5, "Average", TRUE, "Poor ")</f>
        <v xml:space="preserve">Good </v>
      </c>
      <c r="Q804" s="2" t="str" cm="1">
        <f t="array" ref="Q80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04" s="2" t="str">
        <f>IF(Computed_insight___Success_of_active_sellers__2[[#This Row],[totalurgencycount]]&gt;0, "Has Banner", "No Banner")</f>
        <v>No Banner</v>
      </c>
    </row>
    <row r="805" spans="1:18" x14ac:dyDescent="0.3">
      <c r="A805">
        <v>803</v>
      </c>
      <c r="B805" t="s">
        <v>641</v>
      </c>
      <c r="C805">
        <v>1</v>
      </c>
      <c r="D805">
        <v>100</v>
      </c>
      <c r="E805">
        <v>100</v>
      </c>
      <c r="F805">
        <v>4.0449999999999999</v>
      </c>
      <c r="G805">
        <v>88</v>
      </c>
      <c r="H805">
        <v>8</v>
      </c>
      <c r="I805">
        <v>7</v>
      </c>
      <c r="J805">
        <v>-14</v>
      </c>
      <c r="K805">
        <v>-14</v>
      </c>
      <c r="L805">
        <v>15</v>
      </c>
      <c r="O805" s="2" t="str" cm="1">
        <f t="array" ref="O80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05" s="2" t="str" cm="1">
        <f t="array" ref="P805">_xlfn.IFS(Computed_insight___Success_of_active_sellers__2[[#This Row],[rating]]&gt;=4.5, "Excellent ", Computed_insight___Success_of_active_sellers__2[[#This Row],[rating]]&gt;=4, "Good ", Computed_insight___Success_of_active_sellers__2[[#This Row],[rating]]&gt;=3.5, "Average", TRUE, "Poor ")</f>
        <v xml:space="preserve">Good </v>
      </c>
      <c r="Q805" s="2" t="str" cm="1">
        <f t="array" ref="Q80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05" s="2" t="str">
        <f>IF(Computed_insight___Success_of_active_sellers__2[[#This Row],[totalurgencycount]]&gt;0, "Has Banner", "No Banner")</f>
        <v>No Banner</v>
      </c>
    </row>
    <row r="806" spans="1:18" x14ac:dyDescent="0.3">
      <c r="A806">
        <v>804</v>
      </c>
      <c r="B806" t="s">
        <v>700</v>
      </c>
      <c r="C806">
        <v>1</v>
      </c>
      <c r="D806">
        <v>100</v>
      </c>
      <c r="E806">
        <v>100</v>
      </c>
      <c r="F806">
        <v>4.0510000000000002</v>
      </c>
      <c r="G806">
        <v>102568</v>
      </c>
      <c r="H806">
        <v>6</v>
      </c>
      <c r="I806">
        <v>7</v>
      </c>
      <c r="J806">
        <v>15</v>
      </c>
      <c r="K806">
        <v>15</v>
      </c>
      <c r="L806">
        <v>2</v>
      </c>
      <c r="O806" s="2" t="str" cm="1">
        <f t="array" ref="O80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06" s="2" t="str" cm="1">
        <f t="array" ref="P806">_xlfn.IFS(Computed_insight___Success_of_active_sellers__2[[#This Row],[rating]]&gt;=4.5, "Excellent ", Computed_insight___Success_of_active_sellers__2[[#This Row],[rating]]&gt;=4, "Good ", Computed_insight___Success_of_active_sellers__2[[#This Row],[rating]]&gt;=3.5, "Average", TRUE, "Poor ")</f>
        <v xml:space="preserve">Good </v>
      </c>
      <c r="Q806" s="2" t="str" cm="1">
        <f t="array" ref="Q806">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806" s="2" t="str">
        <f>IF(Computed_insight___Success_of_active_sellers__2[[#This Row],[totalurgencycount]]&gt;0, "Has Banner", "No Banner")</f>
        <v>No Banner</v>
      </c>
    </row>
    <row r="807" spans="1:18" x14ac:dyDescent="0.3">
      <c r="A807">
        <v>805</v>
      </c>
      <c r="B807" t="s">
        <v>281</v>
      </c>
      <c r="C807">
        <v>1</v>
      </c>
      <c r="D807">
        <v>100</v>
      </c>
      <c r="E807">
        <v>100</v>
      </c>
      <c r="F807">
        <v>4.0549999999999997</v>
      </c>
      <c r="G807">
        <v>874</v>
      </c>
      <c r="H807">
        <v>11</v>
      </c>
      <c r="I807">
        <v>26</v>
      </c>
      <c r="J807">
        <v>58</v>
      </c>
      <c r="K807">
        <v>58</v>
      </c>
      <c r="L807">
        <v>12</v>
      </c>
      <c r="O807" s="2" t="str" cm="1">
        <f t="array" ref="O80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07" s="2" t="str" cm="1">
        <f t="array" ref="P807">_xlfn.IFS(Computed_insight___Success_of_active_sellers__2[[#This Row],[rating]]&gt;=4.5, "Excellent ", Computed_insight___Success_of_active_sellers__2[[#This Row],[rating]]&gt;=4, "Good ", Computed_insight___Success_of_active_sellers__2[[#This Row],[rating]]&gt;=3.5, "Average", TRUE, "Poor ")</f>
        <v xml:space="preserve">Good </v>
      </c>
      <c r="Q807" s="2" t="str" cm="1">
        <f t="array" ref="Q80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07" s="2" t="str">
        <f>IF(Computed_insight___Success_of_active_sellers__2[[#This Row],[totalurgencycount]]&gt;0, "Has Banner", "No Banner")</f>
        <v>No Banner</v>
      </c>
    </row>
    <row r="808" spans="1:18" x14ac:dyDescent="0.3">
      <c r="A808">
        <v>806</v>
      </c>
      <c r="B808" t="s">
        <v>918</v>
      </c>
      <c r="C808">
        <v>1</v>
      </c>
      <c r="D808">
        <v>100</v>
      </c>
      <c r="E808">
        <v>100</v>
      </c>
      <c r="F808">
        <v>4.056</v>
      </c>
      <c r="G808">
        <v>1086</v>
      </c>
      <c r="H808">
        <v>3</v>
      </c>
      <c r="I808">
        <v>3</v>
      </c>
      <c r="J808">
        <v>0</v>
      </c>
      <c r="K808">
        <v>0</v>
      </c>
      <c r="L808">
        <v>8</v>
      </c>
      <c r="M808">
        <v>1</v>
      </c>
      <c r="N808">
        <v>100</v>
      </c>
      <c r="O808" s="2" t="str" cm="1">
        <f t="array" ref="O80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08" s="2" t="str" cm="1">
        <f t="array" ref="P808">_xlfn.IFS(Computed_insight___Success_of_active_sellers__2[[#This Row],[rating]]&gt;=4.5, "Excellent ", Computed_insight___Success_of_active_sellers__2[[#This Row],[rating]]&gt;=4, "Good ", Computed_insight___Success_of_active_sellers__2[[#This Row],[rating]]&gt;=3.5, "Average", TRUE, "Poor ")</f>
        <v xml:space="preserve">Good </v>
      </c>
      <c r="Q808" s="2" t="str" cm="1">
        <f t="array" ref="Q80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08" s="2" t="str">
        <f>IF(Computed_insight___Success_of_active_sellers__2[[#This Row],[totalurgencycount]]&gt;0, "Has Banner", "No Banner")</f>
        <v>Has Banner</v>
      </c>
    </row>
    <row r="809" spans="1:18" x14ac:dyDescent="0.3">
      <c r="A809">
        <v>807</v>
      </c>
      <c r="B809" t="s">
        <v>159</v>
      </c>
      <c r="C809">
        <v>1</v>
      </c>
      <c r="D809">
        <v>100</v>
      </c>
      <c r="E809">
        <v>100</v>
      </c>
      <c r="F809">
        <v>4.0670000000000002</v>
      </c>
      <c r="G809">
        <v>89</v>
      </c>
      <c r="H809">
        <v>8</v>
      </c>
      <c r="I809">
        <v>7</v>
      </c>
      <c r="J809">
        <v>-14</v>
      </c>
      <c r="K809">
        <v>-14</v>
      </c>
      <c r="L809">
        <v>29</v>
      </c>
      <c r="O809" s="2" t="str" cm="1">
        <f t="array" ref="O80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09" s="2" t="str" cm="1">
        <f t="array" ref="P809">_xlfn.IFS(Computed_insight___Success_of_active_sellers__2[[#This Row],[rating]]&gt;=4.5, "Excellent ", Computed_insight___Success_of_active_sellers__2[[#This Row],[rating]]&gt;=4, "Good ", Computed_insight___Success_of_active_sellers__2[[#This Row],[rating]]&gt;=3.5, "Average", TRUE, "Poor ")</f>
        <v xml:space="preserve">Good </v>
      </c>
      <c r="Q809" s="2" t="str" cm="1">
        <f t="array" ref="Q80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09" s="2" t="str">
        <f>IF(Computed_insight___Success_of_active_sellers__2[[#This Row],[totalurgencycount]]&gt;0, "Has Banner", "No Banner")</f>
        <v>No Banner</v>
      </c>
    </row>
    <row r="810" spans="1:18" x14ac:dyDescent="0.3">
      <c r="A810">
        <v>808</v>
      </c>
      <c r="B810" t="s">
        <v>763</v>
      </c>
      <c r="C810">
        <v>1</v>
      </c>
      <c r="D810">
        <v>100</v>
      </c>
      <c r="E810">
        <v>100</v>
      </c>
      <c r="F810">
        <v>4.07</v>
      </c>
      <c r="G810">
        <v>5939</v>
      </c>
      <c r="H810">
        <v>9</v>
      </c>
      <c r="I810">
        <v>8</v>
      </c>
      <c r="J810">
        <v>-12</v>
      </c>
      <c r="K810">
        <v>-12</v>
      </c>
      <c r="L810">
        <v>51</v>
      </c>
      <c r="O810" s="2" t="str" cm="1">
        <f t="array" ref="O81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10" s="2" t="str" cm="1">
        <f t="array" ref="P810">_xlfn.IFS(Computed_insight___Success_of_active_sellers__2[[#This Row],[rating]]&gt;=4.5, "Excellent ", Computed_insight___Success_of_active_sellers__2[[#This Row],[rating]]&gt;=4, "Good ", Computed_insight___Success_of_active_sellers__2[[#This Row],[rating]]&gt;=3.5, "Average", TRUE, "Poor ")</f>
        <v xml:space="preserve">Good </v>
      </c>
      <c r="Q810" s="2" t="str" cm="1">
        <f t="array" ref="Q81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10" s="2" t="str">
        <f>IF(Computed_insight___Success_of_active_sellers__2[[#This Row],[totalurgencycount]]&gt;0, "Has Banner", "No Banner")</f>
        <v>No Banner</v>
      </c>
    </row>
    <row r="811" spans="1:18" x14ac:dyDescent="0.3">
      <c r="A811">
        <v>809</v>
      </c>
      <c r="B811" t="s">
        <v>431</v>
      </c>
      <c r="C811">
        <v>1</v>
      </c>
      <c r="D811">
        <v>100</v>
      </c>
      <c r="E811">
        <v>100</v>
      </c>
      <c r="F811">
        <v>4.077</v>
      </c>
      <c r="G811">
        <v>1585</v>
      </c>
      <c r="H811">
        <v>8</v>
      </c>
      <c r="I811">
        <v>9</v>
      </c>
      <c r="J811">
        <v>12</v>
      </c>
      <c r="K811">
        <v>12</v>
      </c>
      <c r="L811">
        <v>61</v>
      </c>
      <c r="O811" s="2" t="str" cm="1">
        <f t="array" ref="O81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11" s="2" t="str" cm="1">
        <f t="array" ref="P811">_xlfn.IFS(Computed_insight___Success_of_active_sellers__2[[#This Row],[rating]]&gt;=4.5, "Excellent ", Computed_insight___Success_of_active_sellers__2[[#This Row],[rating]]&gt;=4, "Good ", Computed_insight___Success_of_active_sellers__2[[#This Row],[rating]]&gt;=3.5, "Average", TRUE, "Poor ")</f>
        <v xml:space="preserve">Good </v>
      </c>
      <c r="Q811" s="2" t="str" cm="1">
        <f t="array" ref="Q811">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811" s="2" t="str">
        <f>IF(Computed_insight___Success_of_active_sellers__2[[#This Row],[totalurgencycount]]&gt;0, "Has Banner", "No Banner")</f>
        <v>No Banner</v>
      </c>
    </row>
    <row r="812" spans="1:18" x14ac:dyDescent="0.3">
      <c r="A812">
        <v>810</v>
      </c>
      <c r="B812" t="s">
        <v>184</v>
      </c>
      <c r="C812">
        <v>1</v>
      </c>
      <c r="D812">
        <v>100</v>
      </c>
      <c r="E812">
        <v>100</v>
      </c>
      <c r="F812">
        <v>4.0869999999999997</v>
      </c>
      <c r="G812">
        <v>7385</v>
      </c>
      <c r="H812">
        <v>14</v>
      </c>
      <c r="I812">
        <v>26</v>
      </c>
      <c r="J812">
        <v>47</v>
      </c>
      <c r="K812">
        <v>47</v>
      </c>
      <c r="L812">
        <v>72</v>
      </c>
      <c r="O812" s="2" t="str" cm="1">
        <f t="array" ref="O81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12" s="2" t="str" cm="1">
        <f t="array" ref="P812">_xlfn.IFS(Computed_insight___Success_of_active_sellers__2[[#This Row],[rating]]&gt;=4.5, "Excellent ", Computed_insight___Success_of_active_sellers__2[[#This Row],[rating]]&gt;=4, "Good ", Computed_insight___Success_of_active_sellers__2[[#This Row],[rating]]&gt;=3.5, "Average", TRUE, "Poor ")</f>
        <v xml:space="preserve">Good </v>
      </c>
      <c r="Q812" s="2" t="str" cm="1">
        <f t="array" ref="Q812">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812" s="2" t="str">
        <f>IF(Computed_insight___Success_of_active_sellers__2[[#This Row],[totalurgencycount]]&gt;0, "Has Banner", "No Banner")</f>
        <v>No Banner</v>
      </c>
    </row>
    <row r="813" spans="1:18" x14ac:dyDescent="0.3">
      <c r="A813">
        <v>811</v>
      </c>
      <c r="B813" t="s">
        <v>206</v>
      </c>
      <c r="C813">
        <v>1</v>
      </c>
      <c r="D813">
        <v>100</v>
      </c>
      <c r="E813">
        <v>100</v>
      </c>
      <c r="F813">
        <v>4.0970000000000004</v>
      </c>
      <c r="G813">
        <v>1338</v>
      </c>
      <c r="H813">
        <v>1.72</v>
      </c>
      <c r="I813">
        <v>56</v>
      </c>
      <c r="J813">
        <v>97</v>
      </c>
      <c r="K813">
        <v>97</v>
      </c>
      <c r="L813">
        <v>6</v>
      </c>
      <c r="O813" s="2" t="str" cm="1">
        <f t="array" ref="O81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13" s="2" t="str" cm="1">
        <f t="array" ref="P813">_xlfn.IFS(Computed_insight___Success_of_active_sellers__2[[#This Row],[rating]]&gt;=4.5, "Excellent ", Computed_insight___Success_of_active_sellers__2[[#This Row],[rating]]&gt;=4, "Good ", Computed_insight___Success_of_active_sellers__2[[#This Row],[rating]]&gt;=3.5, "Average", TRUE, "Poor ")</f>
        <v xml:space="preserve">Good </v>
      </c>
      <c r="Q813" s="2" t="str" cm="1">
        <f t="array" ref="Q81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13" s="2" t="str">
        <f>IF(Computed_insight___Success_of_active_sellers__2[[#This Row],[totalurgencycount]]&gt;0, "Has Banner", "No Banner")</f>
        <v>No Banner</v>
      </c>
    </row>
    <row r="814" spans="1:18" x14ac:dyDescent="0.3">
      <c r="A814">
        <v>812</v>
      </c>
      <c r="B814" t="s">
        <v>165</v>
      </c>
      <c r="C814">
        <v>1</v>
      </c>
      <c r="D814">
        <v>100</v>
      </c>
      <c r="E814">
        <v>100</v>
      </c>
      <c r="F814">
        <v>4.101</v>
      </c>
      <c r="G814">
        <v>32724</v>
      </c>
      <c r="H814">
        <v>8</v>
      </c>
      <c r="I814">
        <v>7</v>
      </c>
      <c r="J814">
        <v>-14</v>
      </c>
      <c r="K814">
        <v>-14</v>
      </c>
      <c r="L814">
        <v>9</v>
      </c>
      <c r="O814" s="2" t="str" cm="1">
        <f t="array" ref="O81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14" s="2" t="str" cm="1">
        <f t="array" ref="P814">_xlfn.IFS(Computed_insight___Success_of_active_sellers__2[[#This Row],[rating]]&gt;=4.5, "Excellent ", Computed_insight___Success_of_active_sellers__2[[#This Row],[rating]]&gt;=4, "Good ", Computed_insight___Success_of_active_sellers__2[[#This Row],[rating]]&gt;=3.5, "Average", TRUE, "Poor ")</f>
        <v xml:space="preserve">Good </v>
      </c>
      <c r="Q814" s="2" t="str" cm="1">
        <f t="array" ref="Q81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14" s="2" t="str">
        <f>IF(Computed_insight___Success_of_active_sellers__2[[#This Row],[totalurgencycount]]&gt;0, "Has Banner", "No Banner")</f>
        <v>No Banner</v>
      </c>
    </row>
    <row r="815" spans="1:18" x14ac:dyDescent="0.3">
      <c r="A815">
        <v>813</v>
      </c>
      <c r="B815" t="s">
        <v>211</v>
      </c>
      <c r="C815">
        <v>1</v>
      </c>
      <c r="D815">
        <v>100</v>
      </c>
      <c r="E815">
        <v>100</v>
      </c>
      <c r="F815">
        <v>4.1059999999999999</v>
      </c>
      <c r="G815">
        <v>540</v>
      </c>
      <c r="H815">
        <v>1.89</v>
      </c>
      <c r="I815">
        <v>2</v>
      </c>
      <c r="J815">
        <v>6</v>
      </c>
      <c r="K815">
        <v>6</v>
      </c>
      <c r="L815">
        <v>39</v>
      </c>
      <c r="O815" s="2" t="str" cm="1">
        <f t="array" ref="O81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15" s="2" t="str" cm="1">
        <f t="array" ref="P815">_xlfn.IFS(Computed_insight___Success_of_active_sellers__2[[#This Row],[rating]]&gt;=4.5, "Excellent ", Computed_insight___Success_of_active_sellers__2[[#This Row],[rating]]&gt;=4, "Good ", Computed_insight___Success_of_active_sellers__2[[#This Row],[rating]]&gt;=3.5, "Average", TRUE, "Poor ")</f>
        <v xml:space="preserve">Good </v>
      </c>
      <c r="Q815" s="2" t="str" cm="1">
        <f t="array" ref="Q815">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815" s="2" t="str">
        <f>IF(Computed_insight___Success_of_active_sellers__2[[#This Row],[totalurgencycount]]&gt;0, "Has Banner", "No Banner")</f>
        <v>No Banner</v>
      </c>
    </row>
    <row r="816" spans="1:18" x14ac:dyDescent="0.3">
      <c r="A816">
        <v>814</v>
      </c>
      <c r="B816" t="s">
        <v>696</v>
      </c>
      <c r="C816">
        <v>1</v>
      </c>
      <c r="D816">
        <v>100</v>
      </c>
      <c r="E816">
        <v>100</v>
      </c>
      <c r="F816">
        <v>4.1070000000000002</v>
      </c>
      <c r="G816">
        <v>2199</v>
      </c>
      <c r="H816">
        <v>8</v>
      </c>
      <c r="I816">
        <v>25</v>
      </c>
      <c r="J816">
        <v>68</v>
      </c>
      <c r="K816">
        <v>68</v>
      </c>
      <c r="L816">
        <v>55</v>
      </c>
      <c r="O816" s="2" t="str" cm="1">
        <f t="array" ref="O81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16" s="2" t="str" cm="1">
        <f t="array" ref="P816">_xlfn.IFS(Computed_insight___Success_of_active_sellers__2[[#This Row],[rating]]&gt;=4.5, "Excellent ", Computed_insight___Success_of_active_sellers__2[[#This Row],[rating]]&gt;=4, "Good ", Computed_insight___Success_of_active_sellers__2[[#This Row],[rating]]&gt;=3.5, "Average", TRUE, "Poor ")</f>
        <v xml:space="preserve">Good </v>
      </c>
      <c r="Q816" s="2" t="str" cm="1">
        <f t="array" ref="Q81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16" s="2" t="str">
        <f>IF(Computed_insight___Success_of_active_sellers__2[[#This Row],[totalurgencycount]]&gt;0, "Has Banner", "No Banner")</f>
        <v>No Banner</v>
      </c>
    </row>
    <row r="817" spans="1:18" x14ac:dyDescent="0.3">
      <c r="A817">
        <v>815</v>
      </c>
      <c r="B817" t="s">
        <v>775</v>
      </c>
      <c r="C817">
        <v>1</v>
      </c>
      <c r="D817">
        <v>100</v>
      </c>
      <c r="E817">
        <v>100</v>
      </c>
      <c r="F817">
        <v>4.1109999999999998</v>
      </c>
      <c r="G817">
        <v>425</v>
      </c>
      <c r="H817">
        <v>12</v>
      </c>
      <c r="I817">
        <v>43</v>
      </c>
      <c r="J817">
        <v>73</v>
      </c>
      <c r="K817">
        <v>73</v>
      </c>
      <c r="L817">
        <v>26</v>
      </c>
      <c r="O817" s="2" t="str" cm="1">
        <f t="array" ref="O81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17" s="2" t="str" cm="1">
        <f t="array" ref="P817">_xlfn.IFS(Computed_insight___Success_of_active_sellers__2[[#This Row],[rating]]&gt;=4.5, "Excellent ", Computed_insight___Success_of_active_sellers__2[[#This Row],[rating]]&gt;=4, "Good ", Computed_insight___Success_of_active_sellers__2[[#This Row],[rating]]&gt;=3.5, "Average", TRUE, "Poor ")</f>
        <v xml:space="preserve">Good </v>
      </c>
      <c r="Q817" s="2" t="str" cm="1">
        <f t="array" ref="Q81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17" s="2" t="str">
        <f>IF(Computed_insight___Success_of_active_sellers__2[[#This Row],[totalurgencycount]]&gt;0, "Has Banner", "No Banner")</f>
        <v>No Banner</v>
      </c>
    </row>
    <row r="818" spans="1:18" x14ac:dyDescent="0.3">
      <c r="A818">
        <v>816</v>
      </c>
      <c r="B818" t="s">
        <v>947</v>
      </c>
      <c r="C818">
        <v>1</v>
      </c>
      <c r="D818">
        <v>100</v>
      </c>
      <c r="E818">
        <v>100</v>
      </c>
      <c r="F818">
        <v>4.1180000000000003</v>
      </c>
      <c r="G818">
        <v>4943</v>
      </c>
      <c r="H818">
        <v>5.83</v>
      </c>
      <c r="I818">
        <v>64</v>
      </c>
      <c r="J818">
        <v>91</v>
      </c>
      <c r="K818">
        <v>91</v>
      </c>
      <c r="L818">
        <v>52</v>
      </c>
      <c r="O818" s="2" t="str" cm="1">
        <f t="array" ref="O81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18" s="2" t="str" cm="1">
        <f t="array" ref="P818">_xlfn.IFS(Computed_insight___Success_of_active_sellers__2[[#This Row],[rating]]&gt;=4.5, "Excellent ", Computed_insight___Success_of_active_sellers__2[[#This Row],[rating]]&gt;=4, "Good ", Computed_insight___Success_of_active_sellers__2[[#This Row],[rating]]&gt;=3.5, "Average", TRUE, "Poor ")</f>
        <v xml:space="preserve">Good </v>
      </c>
      <c r="Q818" s="2" t="str" cm="1">
        <f t="array" ref="Q81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18" s="2" t="str">
        <f>IF(Computed_insight___Success_of_active_sellers__2[[#This Row],[totalurgencycount]]&gt;0, "Has Banner", "No Banner")</f>
        <v>No Banner</v>
      </c>
    </row>
    <row r="819" spans="1:18" x14ac:dyDescent="0.3">
      <c r="A819">
        <v>817</v>
      </c>
      <c r="B819" t="s">
        <v>798</v>
      </c>
      <c r="C819">
        <v>1</v>
      </c>
      <c r="D819">
        <v>100</v>
      </c>
      <c r="E819">
        <v>100</v>
      </c>
      <c r="F819">
        <v>4.1230000000000002</v>
      </c>
      <c r="G819">
        <v>1172</v>
      </c>
      <c r="H819">
        <v>5</v>
      </c>
      <c r="I819">
        <v>5</v>
      </c>
      <c r="J819">
        <v>0</v>
      </c>
      <c r="K819">
        <v>0</v>
      </c>
      <c r="L819">
        <v>0</v>
      </c>
      <c r="O819" s="2" t="str" cm="1">
        <f t="array" ref="O81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19" s="2" t="str" cm="1">
        <f t="array" ref="P819">_xlfn.IFS(Computed_insight___Success_of_active_sellers__2[[#This Row],[rating]]&gt;=4.5, "Excellent ", Computed_insight___Success_of_active_sellers__2[[#This Row],[rating]]&gt;=4, "Good ", Computed_insight___Success_of_active_sellers__2[[#This Row],[rating]]&gt;=3.5, "Average", TRUE, "Poor ")</f>
        <v xml:space="preserve">Good </v>
      </c>
      <c r="Q819" s="2" t="str" cm="1">
        <f t="array" ref="Q81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19" s="2" t="str">
        <f>IF(Computed_insight___Success_of_active_sellers__2[[#This Row],[totalurgencycount]]&gt;0, "Has Banner", "No Banner")</f>
        <v>No Banner</v>
      </c>
    </row>
    <row r="820" spans="1:18" x14ac:dyDescent="0.3">
      <c r="A820">
        <v>818</v>
      </c>
      <c r="B820" t="s">
        <v>131</v>
      </c>
      <c r="C820">
        <v>1</v>
      </c>
      <c r="D820">
        <v>100</v>
      </c>
      <c r="E820">
        <v>100</v>
      </c>
      <c r="F820">
        <v>4.1230000000000002</v>
      </c>
      <c r="G820">
        <v>38936</v>
      </c>
      <c r="H820">
        <v>11</v>
      </c>
      <c r="I820">
        <v>10</v>
      </c>
      <c r="J820">
        <v>-10</v>
      </c>
      <c r="K820">
        <v>-10</v>
      </c>
      <c r="L820">
        <v>5</v>
      </c>
      <c r="O820" s="2" t="str" cm="1">
        <f t="array" ref="O82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20" s="2" t="str" cm="1">
        <f t="array" ref="P820">_xlfn.IFS(Computed_insight___Success_of_active_sellers__2[[#This Row],[rating]]&gt;=4.5, "Excellent ", Computed_insight___Success_of_active_sellers__2[[#This Row],[rating]]&gt;=4, "Good ", Computed_insight___Success_of_active_sellers__2[[#This Row],[rating]]&gt;=3.5, "Average", TRUE, "Poor ")</f>
        <v xml:space="preserve">Good </v>
      </c>
      <c r="Q820" s="2" t="str" cm="1">
        <f t="array" ref="Q82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20" s="2" t="str">
        <f>IF(Computed_insight___Success_of_active_sellers__2[[#This Row],[totalurgencycount]]&gt;0, "Has Banner", "No Banner")</f>
        <v>No Banner</v>
      </c>
    </row>
    <row r="821" spans="1:18" x14ac:dyDescent="0.3">
      <c r="A821">
        <v>819</v>
      </c>
      <c r="B821" t="s">
        <v>200</v>
      </c>
      <c r="C821">
        <v>1</v>
      </c>
      <c r="D821">
        <v>100</v>
      </c>
      <c r="E821">
        <v>100</v>
      </c>
      <c r="F821">
        <v>4.125</v>
      </c>
      <c r="G821">
        <v>1385</v>
      </c>
      <c r="H821">
        <v>9</v>
      </c>
      <c r="I821">
        <v>34</v>
      </c>
      <c r="J821">
        <v>74</v>
      </c>
      <c r="K821">
        <v>74</v>
      </c>
      <c r="L821">
        <v>18</v>
      </c>
      <c r="O821" s="2" t="str" cm="1">
        <f t="array" ref="O82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21" s="2" t="str" cm="1">
        <f t="array" ref="P821">_xlfn.IFS(Computed_insight___Success_of_active_sellers__2[[#This Row],[rating]]&gt;=4.5, "Excellent ", Computed_insight___Success_of_active_sellers__2[[#This Row],[rating]]&gt;=4, "Good ", Computed_insight___Success_of_active_sellers__2[[#This Row],[rating]]&gt;=3.5, "Average", TRUE, "Poor ")</f>
        <v xml:space="preserve">Good </v>
      </c>
      <c r="Q821" s="2" t="str" cm="1">
        <f t="array" ref="Q82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21" s="2" t="str">
        <f>IF(Computed_insight___Success_of_active_sellers__2[[#This Row],[totalurgencycount]]&gt;0, "Has Banner", "No Banner")</f>
        <v>No Banner</v>
      </c>
    </row>
    <row r="822" spans="1:18" x14ac:dyDescent="0.3">
      <c r="A822">
        <v>820</v>
      </c>
      <c r="B822" t="s">
        <v>717</v>
      </c>
      <c r="C822">
        <v>1</v>
      </c>
      <c r="D822">
        <v>100</v>
      </c>
      <c r="E822">
        <v>100</v>
      </c>
      <c r="F822">
        <v>4.1269999999999998</v>
      </c>
      <c r="G822">
        <v>521</v>
      </c>
      <c r="H822">
        <v>5</v>
      </c>
      <c r="I822">
        <v>59</v>
      </c>
      <c r="J822">
        <v>92</v>
      </c>
      <c r="K822">
        <v>92</v>
      </c>
      <c r="L822">
        <v>22</v>
      </c>
      <c r="O822" s="2" t="str" cm="1">
        <f t="array" ref="O82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22" s="2" t="str" cm="1">
        <f t="array" ref="P822">_xlfn.IFS(Computed_insight___Success_of_active_sellers__2[[#This Row],[rating]]&gt;=4.5, "Excellent ", Computed_insight___Success_of_active_sellers__2[[#This Row],[rating]]&gt;=4, "Good ", Computed_insight___Success_of_active_sellers__2[[#This Row],[rating]]&gt;=3.5, "Average", TRUE, "Poor ")</f>
        <v xml:space="preserve">Good </v>
      </c>
      <c r="Q822" s="2" t="str" cm="1">
        <f t="array" ref="Q82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22" s="2" t="str">
        <f>IF(Computed_insight___Success_of_active_sellers__2[[#This Row],[totalurgencycount]]&gt;0, "Has Banner", "No Banner")</f>
        <v>No Banner</v>
      </c>
    </row>
    <row r="823" spans="1:18" x14ac:dyDescent="0.3">
      <c r="A823">
        <v>821</v>
      </c>
      <c r="B823" t="s">
        <v>517</v>
      </c>
      <c r="C823">
        <v>1</v>
      </c>
      <c r="D823">
        <v>100</v>
      </c>
      <c r="E823">
        <v>100</v>
      </c>
      <c r="F823">
        <v>4.1280000000000001</v>
      </c>
      <c r="G823">
        <v>17655</v>
      </c>
      <c r="H823">
        <v>7</v>
      </c>
      <c r="I823">
        <v>6</v>
      </c>
      <c r="J823">
        <v>-16</v>
      </c>
      <c r="K823">
        <v>-16</v>
      </c>
      <c r="L823">
        <v>47</v>
      </c>
      <c r="M823">
        <v>1</v>
      </c>
      <c r="N823">
        <v>100</v>
      </c>
      <c r="O823" s="2" t="str" cm="1">
        <f t="array" ref="O82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23" s="2" t="str" cm="1">
        <f t="array" ref="P823">_xlfn.IFS(Computed_insight___Success_of_active_sellers__2[[#This Row],[rating]]&gt;=4.5, "Excellent ", Computed_insight___Success_of_active_sellers__2[[#This Row],[rating]]&gt;=4, "Good ", Computed_insight___Success_of_active_sellers__2[[#This Row],[rating]]&gt;=3.5, "Average", TRUE, "Poor ")</f>
        <v xml:space="preserve">Good </v>
      </c>
      <c r="Q823" s="2" t="str" cm="1">
        <f t="array" ref="Q82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23" s="2" t="str">
        <f>IF(Computed_insight___Success_of_active_sellers__2[[#This Row],[totalurgencycount]]&gt;0, "Has Banner", "No Banner")</f>
        <v>Has Banner</v>
      </c>
    </row>
    <row r="824" spans="1:18" x14ac:dyDescent="0.3">
      <c r="A824">
        <v>822</v>
      </c>
      <c r="B824" t="s">
        <v>2</v>
      </c>
      <c r="C824">
        <v>1</v>
      </c>
      <c r="D824">
        <v>100</v>
      </c>
      <c r="E824">
        <v>100</v>
      </c>
      <c r="F824">
        <v>4.1289999999999996</v>
      </c>
      <c r="G824">
        <v>568</v>
      </c>
      <c r="H824">
        <v>16</v>
      </c>
      <c r="I824">
        <v>14</v>
      </c>
      <c r="J824">
        <v>-14</v>
      </c>
      <c r="K824">
        <v>-14</v>
      </c>
      <c r="L824">
        <v>54</v>
      </c>
      <c r="M824">
        <v>1</v>
      </c>
      <c r="N824">
        <v>100</v>
      </c>
      <c r="O824" s="2" t="str" cm="1">
        <f t="array" ref="O82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24" s="2" t="str" cm="1">
        <f t="array" ref="P824">_xlfn.IFS(Computed_insight___Success_of_active_sellers__2[[#This Row],[rating]]&gt;=4.5, "Excellent ", Computed_insight___Success_of_active_sellers__2[[#This Row],[rating]]&gt;=4, "Good ", Computed_insight___Success_of_active_sellers__2[[#This Row],[rating]]&gt;=3.5, "Average", TRUE, "Poor ")</f>
        <v xml:space="preserve">Good </v>
      </c>
      <c r="Q824" s="2" t="str" cm="1">
        <f t="array" ref="Q82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24" s="2" t="str">
        <f>IF(Computed_insight___Success_of_active_sellers__2[[#This Row],[totalurgencycount]]&gt;0, "Has Banner", "No Banner")</f>
        <v>Has Banner</v>
      </c>
    </row>
    <row r="825" spans="1:18" x14ac:dyDescent="0.3">
      <c r="A825">
        <v>823</v>
      </c>
      <c r="B825" t="s">
        <v>893</v>
      </c>
      <c r="C825">
        <v>1</v>
      </c>
      <c r="D825">
        <v>100</v>
      </c>
      <c r="E825">
        <v>100</v>
      </c>
      <c r="F825">
        <v>4.13</v>
      </c>
      <c r="G825">
        <v>1928</v>
      </c>
      <c r="H825">
        <v>9</v>
      </c>
      <c r="I825">
        <v>17</v>
      </c>
      <c r="J825">
        <v>48</v>
      </c>
      <c r="K825">
        <v>48</v>
      </c>
      <c r="L825">
        <v>34</v>
      </c>
      <c r="O825" s="2" t="str" cm="1">
        <f t="array" ref="O82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25" s="2" t="str" cm="1">
        <f t="array" ref="P825">_xlfn.IFS(Computed_insight___Success_of_active_sellers__2[[#This Row],[rating]]&gt;=4.5, "Excellent ", Computed_insight___Success_of_active_sellers__2[[#This Row],[rating]]&gt;=4, "Good ", Computed_insight___Success_of_active_sellers__2[[#This Row],[rating]]&gt;=3.5, "Average", TRUE, "Poor ")</f>
        <v xml:space="preserve">Good </v>
      </c>
      <c r="Q825" s="2" t="str" cm="1">
        <f t="array" ref="Q825">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825" s="2" t="str">
        <f>IF(Computed_insight___Success_of_active_sellers__2[[#This Row],[totalurgencycount]]&gt;0, "Has Banner", "No Banner")</f>
        <v>No Banner</v>
      </c>
    </row>
    <row r="826" spans="1:18" x14ac:dyDescent="0.3">
      <c r="A826">
        <v>824</v>
      </c>
      <c r="B826" t="s">
        <v>515</v>
      </c>
      <c r="C826">
        <v>1</v>
      </c>
      <c r="D826">
        <v>100</v>
      </c>
      <c r="E826">
        <v>100</v>
      </c>
      <c r="F826">
        <v>4.1310000000000002</v>
      </c>
      <c r="G826">
        <v>24132</v>
      </c>
      <c r="H826">
        <v>8</v>
      </c>
      <c r="I826">
        <v>7</v>
      </c>
      <c r="J826">
        <v>-14</v>
      </c>
      <c r="K826">
        <v>-14</v>
      </c>
      <c r="L826">
        <v>23</v>
      </c>
      <c r="O826" s="2" t="str" cm="1">
        <f t="array" ref="O82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26" s="2" t="str" cm="1">
        <f t="array" ref="P826">_xlfn.IFS(Computed_insight___Success_of_active_sellers__2[[#This Row],[rating]]&gt;=4.5, "Excellent ", Computed_insight___Success_of_active_sellers__2[[#This Row],[rating]]&gt;=4, "Good ", Computed_insight___Success_of_active_sellers__2[[#This Row],[rating]]&gt;=3.5, "Average", TRUE, "Poor ")</f>
        <v xml:space="preserve">Good </v>
      </c>
      <c r="Q826" s="2" t="str" cm="1">
        <f t="array" ref="Q82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26" s="2" t="str">
        <f>IF(Computed_insight___Success_of_active_sellers__2[[#This Row],[totalurgencycount]]&gt;0, "Has Banner", "No Banner")</f>
        <v>No Banner</v>
      </c>
    </row>
    <row r="827" spans="1:18" x14ac:dyDescent="0.3">
      <c r="A827">
        <v>825</v>
      </c>
      <c r="B827" t="s">
        <v>477</v>
      </c>
      <c r="C827">
        <v>1</v>
      </c>
      <c r="D827">
        <v>100</v>
      </c>
      <c r="E827">
        <v>100</v>
      </c>
      <c r="F827">
        <v>4.1360000000000001</v>
      </c>
      <c r="G827">
        <v>18529</v>
      </c>
      <c r="H827">
        <v>7</v>
      </c>
      <c r="I827">
        <v>6</v>
      </c>
      <c r="J827">
        <v>-16</v>
      </c>
      <c r="K827">
        <v>-16</v>
      </c>
      <c r="L827">
        <v>27</v>
      </c>
      <c r="O827" s="2" t="str" cm="1">
        <f t="array" ref="O82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27" s="2" t="str" cm="1">
        <f t="array" ref="P827">_xlfn.IFS(Computed_insight___Success_of_active_sellers__2[[#This Row],[rating]]&gt;=4.5, "Excellent ", Computed_insight___Success_of_active_sellers__2[[#This Row],[rating]]&gt;=4, "Good ", Computed_insight___Success_of_active_sellers__2[[#This Row],[rating]]&gt;=3.5, "Average", TRUE, "Poor ")</f>
        <v xml:space="preserve">Good </v>
      </c>
      <c r="Q827" s="2" t="str" cm="1">
        <f t="array" ref="Q82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27" s="2" t="str">
        <f>IF(Computed_insight___Success_of_active_sellers__2[[#This Row],[totalurgencycount]]&gt;0, "Has Banner", "No Banner")</f>
        <v>No Banner</v>
      </c>
    </row>
    <row r="828" spans="1:18" x14ac:dyDescent="0.3">
      <c r="A828">
        <v>826</v>
      </c>
      <c r="B828" t="s">
        <v>791</v>
      </c>
      <c r="C828">
        <v>1</v>
      </c>
      <c r="D828">
        <v>100</v>
      </c>
      <c r="E828">
        <v>100</v>
      </c>
      <c r="F828">
        <v>4.141</v>
      </c>
      <c r="G828">
        <v>8685</v>
      </c>
      <c r="H828">
        <v>11</v>
      </c>
      <c r="I828">
        <v>26</v>
      </c>
      <c r="J828">
        <v>58</v>
      </c>
      <c r="K828">
        <v>58</v>
      </c>
      <c r="L828">
        <v>1</v>
      </c>
      <c r="M828">
        <v>1</v>
      </c>
      <c r="N828">
        <v>100</v>
      </c>
      <c r="O828" s="2" t="str" cm="1">
        <f t="array" ref="O82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28" s="2" t="str" cm="1">
        <f t="array" ref="P828">_xlfn.IFS(Computed_insight___Success_of_active_sellers__2[[#This Row],[rating]]&gt;=4.5, "Excellent ", Computed_insight___Success_of_active_sellers__2[[#This Row],[rating]]&gt;=4, "Good ", Computed_insight___Success_of_active_sellers__2[[#This Row],[rating]]&gt;=3.5, "Average", TRUE, "Poor ")</f>
        <v xml:space="preserve">Good </v>
      </c>
      <c r="Q828" s="2" t="str" cm="1">
        <f t="array" ref="Q82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28" s="2" t="str">
        <f>IF(Computed_insight___Success_of_active_sellers__2[[#This Row],[totalurgencycount]]&gt;0, "Has Banner", "No Banner")</f>
        <v>Has Banner</v>
      </c>
    </row>
    <row r="829" spans="1:18" x14ac:dyDescent="0.3">
      <c r="A829">
        <v>827</v>
      </c>
      <c r="B829" t="s">
        <v>742</v>
      </c>
      <c r="C829">
        <v>1</v>
      </c>
      <c r="D829">
        <v>100</v>
      </c>
      <c r="E829">
        <v>100</v>
      </c>
      <c r="F829">
        <v>4.1509999999999998</v>
      </c>
      <c r="G829">
        <v>1269</v>
      </c>
      <c r="H829">
        <v>7</v>
      </c>
      <c r="I829">
        <v>34</v>
      </c>
      <c r="J829">
        <v>80</v>
      </c>
      <c r="K829">
        <v>80</v>
      </c>
      <c r="L829">
        <v>106</v>
      </c>
      <c r="O829" s="2" t="str" cm="1">
        <f t="array" ref="O82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29" s="2" t="str" cm="1">
        <f t="array" ref="P829">_xlfn.IFS(Computed_insight___Success_of_active_sellers__2[[#This Row],[rating]]&gt;=4.5, "Excellent ", Computed_insight___Success_of_active_sellers__2[[#This Row],[rating]]&gt;=4, "Good ", Computed_insight___Success_of_active_sellers__2[[#This Row],[rating]]&gt;=3.5, "Average", TRUE, "Poor ")</f>
        <v xml:space="preserve">Good </v>
      </c>
      <c r="Q829" s="2" t="str" cm="1">
        <f t="array" ref="Q82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29" s="2" t="str">
        <f>IF(Computed_insight___Success_of_active_sellers__2[[#This Row],[totalurgencycount]]&gt;0, "Has Banner", "No Banner")</f>
        <v>No Banner</v>
      </c>
    </row>
    <row r="830" spans="1:18" x14ac:dyDescent="0.3">
      <c r="A830">
        <v>828</v>
      </c>
      <c r="B830" t="s">
        <v>148</v>
      </c>
      <c r="C830">
        <v>1</v>
      </c>
      <c r="D830">
        <v>100</v>
      </c>
      <c r="E830">
        <v>100</v>
      </c>
      <c r="F830">
        <v>4.157</v>
      </c>
      <c r="G830">
        <v>300</v>
      </c>
      <c r="H830">
        <v>18</v>
      </c>
      <c r="I830">
        <v>115</v>
      </c>
      <c r="J830">
        <v>85</v>
      </c>
      <c r="K830">
        <v>85</v>
      </c>
      <c r="L830">
        <v>177</v>
      </c>
      <c r="M830">
        <v>1</v>
      </c>
      <c r="N830">
        <v>100</v>
      </c>
      <c r="O830" s="2" t="str" cm="1">
        <f t="array" ref="O83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30" s="2" t="str" cm="1">
        <f t="array" ref="P830">_xlfn.IFS(Computed_insight___Success_of_active_sellers__2[[#This Row],[rating]]&gt;=4.5, "Excellent ", Computed_insight___Success_of_active_sellers__2[[#This Row],[rating]]&gt;=4, "Good ", Computed_insight___Success_of_active_sellers__2[[#This Row],[rating]]&gt;=3.5, "Average", TRUE, "Poor ")</f>
        <v xml:space="preserve">Good </v>
      </c>
      <c r="Q830" s="2" t="str" cm="1">
        <f t="array" ref="Q83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30" s="2" t="str">
        <f>IF(Computed_insight___Success_of_active_sellers__2[[#This Row],[totalurgencycount]]&gt;0, "Has Banner", "No Banner")</f>
        <v>Has Banner</v>
      </c>
    </row>
    <row r="831" spans="1:18" x14ac:dyDescent="0.3">
      <c r="A831">
        <v>829</v>
      </c>
      <c r="B831" t="s">
        <v>625</v>
      </c>
      <c r="C831">
        <v>1</v>
      </c>
      <c r="D831">
        <v>100</v>
      </c>
      <c r="E831">
        <v>100</v>
      </c>
      <c r="F831">
        <v>4.1580000000000004</v>
      </c>
      <c r="G831">
        <v>19867</v>
      </c>
      <c r="H831">
        <v>5</v>
      </c>
      <c r="I831">
        <v>26</v>
      </c>
      <c r="J831">
        <v>81</v>
      </c>
      <c r="K831">
        <v>81</v>
      </c>
      <c r="L831">
        <v>4</v>
      </c>
      <c r="O831" s="2" t="str" cm="1">
        <f t="array" ref="O83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31" s="2" t="str" cm="1">
        <f t="array" ref="P831">_xlfn.IFS(Computed_insight___Success_of_active_sellers__2[[#This Row],[rating]]&gt;=4.5, "Excellent ", Computed_insight___Success_of_active_sellers__2[[#This Row],[rating]]&gt;=4, "Good ", Computed_insight___Success_of_active_sellers__2[[#This Row],[rating]]&gt;=3.5, "Average", TRUE, "Poor ")</f>
        <v xml:space="preserve">Good </v>
      </c>
      <c r="Q831" s="2" t="str" cm="1">
        <f t="array" ref="Q83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31" s="2" t="str">
        <f>IF(Computed_insight___Success_of_active_sellers__2[[#This Row],[totalurgencycount]]&gt;0, "Has Banner", "No Banner")</f>
        <v>No Banner</v>
      </c>
    </row>
    <row r="832" spans="1:18" x14ac:dyDescent="0.3">
      <c r="A832">
        <v>830</v>
      </c>
      <c r="B832" t="s">
        <v>634</v>
      </c>
      <c r="C832">
        <v>1</v>
      </c>
      <c r="D832">
        <v>100</v>
      </c>
      <c r="E832">
        <v>100</v>
      </c>
      <c r="F832">
        <v>4.1580000000000004</v>
      </c>
      <c r="G832">
        <v>7267</v>
      </c>
      <c r="H832">
        <v>15</v>
      </c>
      <c r="I832">
        <v>59</v>
      </c>
      <c r="J832">
        <v>75</v>
      </c>
      <c r="K832">
        <v>75</v>
      </c>
      <c r="L832">
        <v>202</v>
      </c>
      <c r="O832" s="2" t="str" cm="1">
        <f t="array" ref="O83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32" s="2" t="str" cm="1">
        <f t="array" ref="P832">_xlfn.IFS(Computed_insight___Success_of_active_sellers__2[[#This Row],[rating]]&gt;=4.5, "Excellent ", Computed_insight___Success_of_active_sellers__2[[#This Row],[rating]]&gt;=4, "Good ", Computed_insight___Success_of_active_sellers__2[[#This Row],[rating]]&gt;=3.5, "Average", TRUE, "Poor ")</f>
        <v xml:space="preserve">Good </v>
      </c>
      <c r="Q832" s="2" t="str" cm="1">
        <f t="array" ref="Q83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32" s="2" t="str">
        <f>IF(Computed_insight___Success_of_active_sellers__2[[#This Row],[totalurgencycount]]&gt;0, "Has Banner", "No Banner")</f>
        <v>No Banner</v>
      </c>
    </row>
    <row r="833" spans="1:18" x14ac:dyDescent="0.3">
      <c r="A833">
        <v>831</v>
      </c>
      <c r="B833" t="s">
        <v>166</v>
      </c>
      <c r="C833">
        <v>1</v>
      </c>
      <c r="D833">
        <v>100</v>
      </c>
      <c r="E833">
        <v>100</v>
      </c>
      <c r="F833">
        <v>4.1589999999999998</v>
      </c>
      <c r="G833">
        <v>2602</v>
      </c>
      <c r="H833">
        <v>6</v>
      </c>
      <c r="I833">
        <v>145</v>
      </c>
      <c r="J833">
        <v>96</v>
      </c>
      <c r="K833">
        <v>96</v>
      </c>
      <c r="L833">
        <v>52</v>
      </c>
      <c r="O833" s="2" t="str" cm="1">
        <f t="array" ref="O83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33" s="2" t="str" cm="1">
        <f t="array" ref="P833">_xlfn.IFS(Computed_insight___Success_of_active_sellers__2[[#This Row],[rating]]&gt;=4.5, "Excellent ", Computed_insight___Success_of_active_sellers__2[[#This Row],[rating]]&gt;=4, "Good ", Computed_insight___Success_of_active_sellers__2[[#This Row],[rating]]&gt;=3.5, "Average", TRUE, "Poor ")</f>
        <v xml:space="preserve">Good </v>
      </c>
      <c r="Q833" s="2" t="str" cm="1">
        <f t="array" ref="Q83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33" s="2" t="str">
        <f>IF(Computed_insight___Success_of_active_sellers__2[[#This Row],[totalurgencycount]]&gt;0, "Has Banner", "No Banner")</f>
        <v>No Banner</v>
      </c>
    </row>
    <row r="834" spans="1:18" x14ac:dyDescent="0.3">
      <c r="A834">
        <v>832</v>
      </c>
      <c r="B834" t="s">
        <v>884</v>
      </c>
      <c r="C834">
        <v>1</v>
      </c>
      <c r="D834">
        <v>100</v>
      </c>
      <c r="E834">
        <v>100</v>
      </c>
      <c r="F834">
        <v>4.1669999999999998</v>
      </c>
      <c r="G834">
        <v>30</v>
      </c>
      <c r="H834">
        <v>1</v>
      </c>
      <c r="I834">
        <v>1</v>
      </c>
      <c r="J834">
        <v>0</v>
      </c>
      <c r="K834">
        <v>0</v>
      </c>
      <c r="L834">
        <v>6</v>
      </c>
      <c r="O834" s="2" t="str" cm="1">
        <f t="array" ref="O83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34" s="2" t="str" cm="1">
        <f t="array" ref="P834">_xlfn.IFS(Computed_insight___Success_of_active_sellers__2[[#This Row],[rating]]&gt;=4.5, "Excellent ", Computed_insight___Success_of_active_sellers__2[[#This Row],[rating]]&gt;=4, "Good ", Computed_insight___Success_of_active_sellers__2[[#This Row],[rating]]&gt;=3.5, "Average", TRUE, "Poor ")</f>
        <v xml:space="preserve">Good </v>
      </c>
      <c r="Q834" s="2" t="str" cm="1">
        <f t="array" ref="Q83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34" s="2" t="str">
        <f>IF(Computed_insight___Success_of_active_sellers__2[[#This Row],[totalurgencycount]]&gt;0, "Has Banner", "No Banner")</f>
        <v>No Banner</v>
      </c>
    </row>
    <row r="835" spans="1:18" x14ac:dyDescent="0.3">
      <c r="A835">
        <v>833</v>
      </c>
      <c r="B835" t="s">
        <v>157</v>
      </c>
      <c r="C835">
        <v>1</v>
      </c>
      <c r="D835">
        <v>100</v>
      </c>
      <c r="E835">
        <v>100</v>
      </c>
      <c r="F835">
        <v>4.1669999999999998</v>
      </c>
      <c r="G835">
        <v>629</v>
      </c>
      <c r="H835">
        <v>6</v>
      </c>
      <c r="I835">
        <v>17</v>
      </c>
      <c r="J835">
        <v>65</v>
      </c>
      <c r="K835">
        <v>65</v>
      </c>
      <c r="L835">
        <v>93</v>
      </c>
      <c r="M835">
        <v>1</v>
      </c>
      <c r="N835">
        <v>100</v>
      </c>
      <c r="O835" s="2" t="str" cm="1">
        <f t="array" ref="O83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35" s="2" t="str" cm="1">
        <f t="array" ref="P835">_xlfn.IFS(Computed_insight___Success_of_active_sellers__2[[#This Row],[rating]]&gt;=4.5, "Excellent ", Computed_insight___Success_of_active_sellers__2[[#This Row],[rating]]&gt;=4, "Good ", Computed_insight___Success_of_active_sellers__2[[#This Row],[rating]]&gt;=3.5, "Average", TRUE, "Poor ")</f>
        <v xml:space="preserve">Good </v>
      </c>
      <c r="Q835" s="2" t="str" cm="1">
        <f t="array" ref="Q83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35" s="2" t="str">
        <f>IF(Computed_insight___Success_of_active_sellers__2[[#This Row],[totalurgencycount]]&gt;0, "Has Banner", "No Banner")</f>
        <v>Has Banner</v>
      </c>
    </row>
    <row r="836" spans="1:18" x14ac:dyDescent="0.3">
      <c r="A836">
        <v>834</v>
      </c>
      <c r="B836" t="s">
        <v>106</v>
      </c>
      <c r="C836">
        <v>1</v>
      </c>
      <c r="D836">
        <v>100</v>
      </c>
      <c r="E836">
        <v>100</v>
      </c>
      <c r="F836">
        <v>4.1680000000000001</v>
      </c>
      <c r="G836">
        <v>10799</v>
      </c>
      <c r="H836">
        <v>5</v>
      </c>
      <c r="I836">
        <v>5</v>
      </c>
      <c r="J836">
        <v>0</v>
      </c>
      <c r="K836">
        <v>0</v>
      </c>
      <c r="L836">
        <v>10</v>
      </c>
      <c r="O836" s="2" t="str" cm="1">
        <f t="array" ref="O83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36" s="2" t="str" cm="1">
        <f t="array" ref="P836">_xlfn.IFS(Computed_insight___Success_of_active_sellers__2[[#This Row],[rating]]&gt;=4.5, "Excellent ", Computed_insight___Success_of_active_sellers__2[[#This Row],[rating]]&gt;=4, "Good ", Computed_insight___Success_of_active_sellers__2[[#This Row],[rating]]&gt;=3.5, "Average", TRUE, "Poor ")</f>
        <v xml:space="preserve">Good </v>
      </c>
      <c r="Q836" s="2" t="str" cm="1">
        <f t="array" ref="Q83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36" s="2" t="str">
        <f>IF(Computed_insight___Success_of_active_sellers__2[[#This Row],[totalurgencycount]]&gt;0, "Has Banner", "No Banner")</f>
        <v>No Banner</v>
      </c>
    </row>
    <row r="837" spans="1:18" x14ac:dyDescent="0.3">
      <c r="A837">
        <v>835</v>
      </c>
      <c r="B837" t="s">
        <v>581</v>
      </c>
      <c r="C837">
        <v>1</v>
      </c>
      <c r="D837">
        <v>100</v>
      </c>
      <c r="E837">
        <v>100</v>
      </c>
      <c r="F837">
        <v>4.17</v>
      </c>
      <c r="G837">
        <v>3520</v>
      </c>
      <c r="H837">
        <v>14</v>
      </c>
      <c r="I837">
        <v>12</v>
      </c>
      <c r="J837">
        <v>-16</v>
      </c>
      <c r="K837">
        <v>-16</v>
      </c>
      <c r="L837">
        <v>65</v>
      </c>
      <c r="O837" s="2" t="str" cm="1">
        <f t="array" ref="O83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37" s="2" t="str" cm="1">
        <f t="array" ref="P837">_xlfn.IFS(Computed_insight___Success_of_active_sellers__2[[#This Row],[rating]]&gt;=4.5, "Excellent ", Computed_insight___Success_of_active_sellers__2[[#This Row],[rating]]&gt;=4, "Good ", Computed_insight___Success_of_active_sellers__2[[#This Row],[rating]]&gt;=3.5, "Average", TRUE, "Poor ")</f>
        <v xml:space="preserve">Good </v>
      </c>
      <c r="Q837" s="2" t="str" cm="1">
        <f t="array" ref="Q83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37" s="2" t="str">
        <f>IF(Computed_insight___Success_of_active_sellers__2[[#This Row],[totalurgencycount]]&gt;0, "Has Banner", "No Banner")</f>
        <v>No Banner</v>
      </c>
    </row>
    <row r="838" spans="1:18" x14ac:dyDescent="0.3">
      <c r="A838">
        <v>836</v>
      </c>
      <c r="B838" t="s">
        <v>749</v>
      </c>
      <c r="C838">
        <v>1</v>
      </c>
      <c r="D838">
        <v>100</v>
      </c>
      <c r="E838">
        <v>100</v>
      </c>
      <c r="F838">
        <v>4.1859999999999999</v>
      </c>
      <c r="G838">
        <v>435</v>
      </c>
      <c r="H838">
        <v>11</v>
      </c>
      <c r="I838">
        <v>28</v>
      </c>
      <c r="J838">
        <v>61</v>
      </c>
      <c r="K838">
        <v>61</v>
      </c>
      <c r="L838">
        <v>107</v>
      </c>
      <c r="O838" s="2" t="str" cm="1">
        <f t="array" ref="O83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38" s="2" t="str" cm="1">
        <f t="array" ref="P838">_xlfn.IFS(Computed_insight___Success_of_active_sellers__2[[#This Row],[rating]]&gt;=4.5, "Excellent ", Computed_insight___Success_of_active_sellers__2[[#This Row],[rating]]&gt;=4, "Good ", Computed_insight___Success_of_active_sellers__2[[#This Row],[rating]]&gt;=3.5, "Average", TRUE, "Poor ")</f>
        <v xml:space="preserve">Good </v>
      </c>
      <c r="Q838" s="2" t="str" cm="1">
        <f t="array" ref="Q83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38" s="2" t="str">
        <f>IF(Computed_insight___Success_of_active_sellers__2[[#This Row],[totalurgencycount]]&gt;0, "Has Banner", "No Banner")</f>
        <v>No Banner</v>
      </c>
    </row>
    <row r="839" spans="1:18" x14ac:dyDescent="0.3">
      <c r="A839">
        <v>837</v>
      </c>
      <c r="B839" t="s">
        <v>835</v>
      </c>
      <c r="C839">
        <v>1</v>
      </c>
      <c r="D839">
        <v>100</v>
      </c>
      <c r="E839">
        <v>100</v>
      </c>
      <c r="F839">
        <v>4.1900000000000004</v>
      </c>
      <c r="G839">
        <v>163</v>
      </c>
      <c r="H839">
        <v>2.9</v>
      </c>
      <c r="I839">
        <v>3</v>
      </c>
      <c r="J839">
        <v>4</v>
      </c>
      <c r="K839">
        <v>4</v>
      </c>
      <c r="L839">
        <v>19</v>
      </c>
      <c r="O839" s="2" t="str" cm="1">
        <f t="array" ref="O83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39" s="2" t="str" cm="1">
        <f t="array" ref="P839">_xlfn.IFS(Computed_insight___Success_of_active_sellers__2[[#This Row],[rating]]&gt;=4.5, "Excellent ", Computed_insight___Success_of_active_sellers__2[[#This Row],[rating]]&gt;=4, "Good ", Computed_insight___Success_of_active_sellers__2[[#This Row],[rating]]&gt;=3.5, "Average", TRUE, "Poor ")</f>
        <v xml:space="preserve">Good </v>
      </c>
      <c r="Q839" s="2" t="str" cm="1">
        <f t="array" ref="Q839">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839" s="2" t="str">
        <f>IF(Computed_insight___Success_of_active_sellers__2[[#This Row],[totalurgencycount]]&gt;0, "Has Banner", "No Banner")</f>
        <v>No Banner</v>
      </c>
    </row>
    <row r="840" spans="1:18" x14ac:dyDescent="0.3">
      <c r="A840">
        <v>838</v>
      </c>
      <c r="B840" t="s">
        <v>782</v>
      </c>
      <c r="C840">
        <v>1</v>
      </c>
      <c r="D840">
        <v>100</v>
      </c>
      <c r="E840">
        <v>100</v>
      </c>
      <c r="F840">
        <v>4.1920000000000002</v>
      </c>
      <c r="G840">
        <v>14327</v>
      </c>
      <c r="H840">
        <v>4.7</v>
      </c>
      <c r="I840">
        <v>19</v>
      </c>
      <c r="J840">
        <v>76</v>
      </c>
      <c r="K840">
        <v>76</v>
      </c>
      <c r="L840">
        <v>15</v>
      </c>
      <c r="O840" s="2" t="str" cm="1">
        <f t="array" ref="O84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40" s="2" t="str" cm="1">
        <f t="array" ref="P840">_xlfn.IFS(Computed_insight___Success_of_active_sellers__2[[#This Row],[rating]]&gt;=4.5, "Excellent ", Computed_insight___Success_of_active_sellers__2[[#This Row],[rating]]&gt;=4, "Good ", Computed_insight___Success_of_active_sellers__2[[#This Row],[rating]]&gt;=3.5, "Average", TRUE, "Poor ")</f>
        <v xml:space="preserve">Good </v>
      </c>
      <c r="Q840" s="2" t="str" cm="1">
        <f t="array" ref="Q84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40" s="2" t="str">
        <f>IF(Computed_insight___Success_of_active_sellers__2[[#This Row],[totalurgencycount]]&gt;0, "Has Banner", "No Banner")</f>
        <v>No Banner</v>
      </c>
    </row>
    <row r="841" spans="1:18" x14ac:dyDescent="0.3">
      <c r="A841">
        <v>839</v>
      </c>
      <c r="B841" t="s">
        <v>794</v>
      </c>
      <c r="C841">
        <v>1</v>
      </c>
      <c r="D841">
        <v>100</v>
      </c>
      <c r="E841">
        <v>100</v>
      </c>
      <c r="F841">
        <v>4.1950000000000003</v>
      </c>
      <c r="G841">
        <v>18079</v>
      </c>
      <c r="H841">
        <v>13</v>
      </c>
      <c r="I841">
        <v>68</v>
      </c>
      <c r="J841">
        <v>81</v>
      </c>
      <c r="K841">
        <v>81</v>
      </c>
      <c r="L841">
        <v>121</v>
      </c>
      <c r="O841" s="2" t="str" cm="1">
        <f t="array" ref="O84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41" s="2" t="str" cm="1">
        <f t="array" ref="P841">_xlfn.IFS(Computed_insight___Success_of_active_sellers__2[[#This Row],[rating]]&gt;=4.5, "Excellent ", Computed_insight___Success_of_active_sellers__2[[#This Row],[rating]]&gt;=4, "Good ", Computed_insight___Success_of_active_sellers__2[[#This Row],[rating]]&gt;=3.5, "Average", TRUE, "Poor ")</f>
        <v xml:space="preserve">Good </v>
      </c>
      <c r="Q841" s="2" t="str" cm="1">
        <f t="array" ref="Q84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41" s="2" t="str">
        <f>IF(Computed_insight___Success_of_active_sellers__2[[#This Row],[totalurgencycount]]&gt;0, "Has Banner", "No Banner")</f>
        <v>No Banner</v>
      </c>
    </row>
    <row r="842" spans="1:18" x14ac:dyDescent="0.3">
      <c r="A842">
        <v>840</v>
      </c>
      <c r="B842" t="s">
        <v>743</v>
      </c>
      <c r="C842">
        <v>1</v>
      </c>
      <c r="D842">
        <v>100</v>
      </c>
      <c r="E842">
        <v>100</v>
      </c>
      <c r="F842">
        <v>4.21</v>
      </c>
      <c r="G842">
        <v>2282</v>
      </c>
      <c r="H842">
        <v>11</v>
      </c>
      <c r="I842">
        <v>10</v>
      </c>
      <c r="J842">
        <v>-10</v>
      </c>
      <c r="K842">
        <v>-10</v>
      </c>
      <c r="L842">
        <v>96</v>
      </c>
      <c r="O842" s="2" t="str" cm="1">
        <f t="array" ref="O84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42" s="2" t="str" cm="1">
        <f t="array" ref="P842">_xlfn.IFS(Computed_insight___Success_of_active_sellers__2[[#This Row],[rating]]&gt;=4.5, "Excellent ", Computed_insight___Success_of_active_sellers__2[[#This Row],[rating]]&gt;=4, "Good ", Computed_insight___Success_of_active_sellers__2[[#This Row],[rating]]&gt;=3.5, "Average", TRUE, "Poor ")</f>
        <v xml:space="preserve">Good </v>
      </c>
      <c r="Q842" s="2" t="str" cm="1">
        <f t="array" ref="Q84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42" s="2" t="str">
        <f>IF(Computed_insight___Success_of_active_sellers__2[[#This Row],[totalurgencycount]]&gt;0, "Has Banner", "No Banner")</f>
        <v>No Banner</v>
      </c>
    </row>
    <row r="843" spans="1:18" x14ac:dyDescent="0.3">
      <c r="A843">
        <v>841</v>
      </c>
      <c r="B843" t="s">
        <v>94</v>
      </c>
      <c r="C843">
        <v>1</v>
      </c>
      <c r="D843">
        <v>100</v>
      </c>
      <c r="E843">
        <v>100</v>
      </c>
      <c r="F843">
        <v>4.21</v>
      </c>
      <c r="G843">
        <v>9541</v>
      </c>
      <c r="H843">
        <v>11</v>
      </c>
      <c r="I843">
        <v>30</v>
      </c>
      <c r="J843">
        <v>64</v>
      </c>
      <c r="K843">
        <v>64</v>
      </c>
      <c r="L843">
        <v>28</v>
      </c>
      <c r="O843" s="2" t="str" cm="1">
        <f t="array" ref="O84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43" s="2" t="str" cm="1">
        <f t="array" ref="P843">_xlfn.IFS(Computed_insight___Success_of_active_sellers__2[[#This Row],[rating]]&gt;=4.5, "Excellent ", Computed_insight___Success_of_active_sellers__2[[#This Row],[rating]]&gt;=4, "Good ", Computed_insight___Success_of_active_sellers__2[[#This Row],[rating]]&gt;=3.5, "Average", TRUE, "Poor ")</f>
        <v xml:space="preserve">Good </v>
      </c>
      <c r="Q843" s="2" t="str" cm="1">
        <f t="array" ref="Q84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43" s="2" t="str">
        <f>IF(Computed_insight___Success_of_active_sellers__2[[#This Row],[totalurgencycount]]&gt;0, "Has Banner", "No Banner")</f>
        <v>No Banner</v>
      </c>
    </row>
    <row r="844" spans="1:18" x14ac:dyDescent="0.3">
      <c r="A844">
        <v>842</v>
      </c>
      <c r="B844" t="s">
        <v>550</v>
      </c>
      <c r="C844">
        <v>1</v>
      </c>
      <c r="D844">
        <v>100</v>
      </c>
      <c r="E844">
        <v>100</v>
      </c>
      <c r="F844">
        <v>4.2110000000000003</v>
      </c>
      <c r="G844">
        <v>878</v>
      </c>
      <c r="H844">
        <v>14</v>
      </c>
      <c r="I844">
        <v>97</v>
      </c>
      <c r="J844">
        <v>86</v>
      </c>
      <c r="K844">
        <v>86</v>
      </c>
      <c r="L844">
        <v>44</v>
      </c>
      <c r="O844" s="2" t="str" cm="1">
        <f t="array" ref="O84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44" s="2" t="str" cm="1">
        <f t="array" ref="P844">_xlfn.IFS(Computed_insight___Success_of_active_sellers__2[[#This Row],[rating]]&gt;=4.5, "Excellent ", Computed_insight___Success_of_active_sellers__2[[#This Row],[rating]]&gt;=4, "Good ", Computed_insight___Success_of_active_sellers__2[[#This Row],[rating]]&gt;=3.5, "Average", TRUE, "Poor ")</f>
        <v xml:space="preserve">Good </v>
      </c>
      <c r="Q844" s="2" t="str" cm="1">
        <f t="array" ref="Q84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44" s="2" t="str">
        <f>IF(Computed_insight___Success_of_active_sellers__2[[#This Row],[totalurgencycount]]&gt;0, "Has Banner", "No Banner")</f>
        <v>No Banner</v>
      </c>
    </row>
    <row r="845" spans="1:18" x14ac:dyDescent="0.3">
      <c r="A845">
        <v>843</v>
      </c>
      <c r="B845" t="s">
        <v>279</v>
      </c>
      <c r="C845">
        <v>1</v>
      </c>
      <c r="D845">
        <v>100</v>
      </c>
      <c r="E845">
        <v>100</v>
      </c>
      <c r="F845">
        <v>4.2119999999999997</v>
      </c>
      <c r="G845">
        <v>1290</v>
      </c>
      <c r="H845">
        <v>8</v>
      </c>
      <c r="I845">
        <v>7</v>
      </c>
      <c r="J845">
        <v>-14</v>
      </c>
      <c r="K845">
        <v>-14</v>
      </c>
      <c r="L845">
        <v>111</v>
      </c>
      <c r="O845" s="2" t="str" cm="1">
        <f t="array" ref="O84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45" s="2" t="str" cm="1">
        <f t="array" ref="P845">_xlfn.IFS(Computed_insight___Success_of_active_sellers__2[[#This Row],[rating]]&gt;=4.5, "Excellent ", Computed_insight___Success_of_active_sellers__2[[#This Row],[rating]]&gt;=4, "Good ", Computed_insight___Success_of_active_sellers__2[[#This Row],[rating]]&gt;=3.5, "Average", TRUE, "Poor ")</f>
        <v xml:space="preserve">Good </v>
      </c>
      <c r="Q845" s="2" t="str" cm="1">
        <f t="array" ref="Q84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45" s="2" t="str">
        <f>IF(Computed_insight___Success_of_active_sellers__2[[#This Row],[totalurgencycount]]&gt;0, "Has Banner", "No Banner")</f>
        <v>No Banner</v>
      </c>
    </row>
    <row r="846" spans="1:18" x14ac:dyDescent="0.3">
      <c r="A846">
        <v>844</v>
      </c>
      <c r="B846" t="s">
        <v>343</v>
      </c>
      <c r="C846">
        <v>1</v>
      </c>
      <c r="D846">
        <v>100</v>
      </c>
      <c r="E846">
        <v>100</v>
      </c>
      <c r="F846">
        <v>4.2130000000000001</v>
      </c>
      <c r="G846">
        <v>5106</v>
      </c>
      <c r="H846">
        <v>5.92</v>
      </c>
      <c r="I846">
        <v>9</v>
      </c>
      <c r="J846">
        <v>35</v>
      </c>
      <c r="K846">
        <v>35</v>
      </c>
      <c r="L846">
        <v>17</v>
      </c>
      <c r="O846" s="2" t="str" cm="1">
        <f t="array" ref="O84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46" s="2" t="str" cm="1">
        <f t="array" ref="P846">_xlfn.IFS(Computed_insight___Success_of_active_sellers__2[[#This Row],[rating]]&gt;=4.5, "Excellent ", Computed_insight___Success_of_active_sellers__2[[#This Row],[rating]]&gt;=4, "Good ", Computed_insight___Success_of_active_sellers__2[[#This Row],[rating]]&gt;=3.5, "Average", TRUE, "Poor ")</f>
        <v xml:space="preserve">Good </v>
      </c>
      <c r="Q846" s="2" t="str" cm="1">
        <f t="array" ref="Q846">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846" s="2" t="str">
        <f>IF(Computed_insight___Success_of_active_sellers__2[[#This Row],[totalurgencycount]]&gt;0, "Has Banner", "No Banner")</f>
        <v>No Banner</v>
      </c>
    </row>
    <row r="847" spans="1:18" x14ac:dyDescent="0.3">
      <c r="A847">
        <v>845</v>
      </c>
      <c r="B847" t="s">
        <v>450</v>
      </c>
      <c r="C847">
        <v>1</v>
      </c>
      <c r="D847">
        <v>100</v>
      </c>
      <c r="E847">
        <v>100</v>
      </c>
      <c r="F847">
        <v>4.2130000000000001</v>
      </c>
      <c r="G847">
        <v>2399</v>
      </c>
      <c r="H847">
        <v>3.93</v>
      </c>
      <c r="I847">
        <v>24</v>
      </c>
      <c r="J847">
        <v>84</v>
      </c>
      <c r="K847">
        <v>84</v>
      </c>
      <c r="L847">
        <v>57</v>
      </c>
      <c r="O847" s="2" t="str" cm="1">
        <f t="array" ref="O84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47" s="2" t="str" cm="1">
        <f t="array" ref="P847">_xlfn.IFS(Computed_insight___Success_of_active_sellers__2[[#This Row],[rating]]&gt;=4.5, "Excellent ", Computed_insight___Success_of_active_sellers__2[[#This Row],[rating]]&gt;=4, "Good ", Computed_insight___Success_of_active_sellers__2[[#This Row],[rating]]&gt;=3.5, "Average", TRUE, "Poor ")</f>
        <v xml:space="preserve">Good </v>
      </c>
      <c r="Q847" s="2" t="str" cm="1">
        <f t="array" ref="Q84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47" s="2" t="str">
        <f>IF(Computed_insight___Success_of_active_sellers__2[[#This Row],[totalurgencycount]]&gt;0, "Has Banner", "No Banner")</f>
        <v>No Banner</v>
      </c>
    </row>
    <row r="848" spans="1:18" x14ac:dyDescent="0.3">
      <c r="A848">
        <v>846</v>
      </c>
      <c r="B848" t="s">
        <v>569</v>
      </c>
      <c r="C848">
        <v>1</v>
      </c>
      <c r="D848">
        <v>100</v>
      </c>
      <c r="E848">
        <v>100</v>
      </c>
      <c r="F848">
        <v>4.2229999999999999</v>
      </c>
      <c r="G848">
        <v>29977</v>
      </c>
      <c r="H848">
        <v>49</v>
      </c>
      <c r="I848">
        <v>42</v>
      </c>
      <c r="J848">
        <v>-16</v>
      </c>
      <c r="K848">
        <v>-16</v>
      </c>
      <c r="L848">
        <v>6</v>
      </c>
      <c r="O848" s="2" t="str" cm="1">
        <f t="array" ref="O84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48" s="2" t="str" cm="1">
        <f t="array" ref="P848">_xlfn.IFS(Computed_insight___Success_of_active_sellers__2[[#This Row],[rating]]&gt;=4.5, "Excellent ", Computed_insight___Success_of_active_sellers__2[[#This Row],[rating]]&gt;=4, "Good ", Computed_insight___Success_of_active_sellers__2[[#This Row],[rating]]&gt;=3.5, "Average", TRUE, "Poor ")</f>
        <v xml:space="preserve">Good </v>
      </c>
      <c r="Q848" s="2" t="str" cm="1">
        <f t="array" ref="Q84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48" s="2" t="str">
        <f>IF(Computed_insight___Success_of_active_sellers__2[[#This Row],[totalurgencycount]]&gt;0, "Has Banner", "No Banner")</f>
        <v>No Banner</v>
      </c>
    </row>
    <row r="849" spans="1:18" x14ac:dyDescent="0.3">
      <c r="A849">
        <v>847</v>
      </c>
      <c r="B849" t="s">
        <v>399</v>
      </c>
      <c r="C849">
        <v>1</v>
      </c>
      <c r="D849">
        <v>100</v>
      </c>
      <c r="E849">
        <v>100</v>
      </c>
      <c r="F849">
        <v>4.2270000000000003</v>
      </c>
      <c r="G849">
        <v>1465</v>
      </c>
      <c r="H849">
        <v>18</v>
      </c>
      <c r="I849">
        <v>47</v>
      </c>
      <c r="J849">
        <v>62</v>
      </c>
      <c r="K849">
        <v>62</v>
      </c>
      <c r="L849">
        <v>34</v>
      </c>
      <c r="O849" s="2" t="str" cm="1">
        <f t="array" ref="O84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49" s="2" t="str" cm="1">
        <f t="array" ref="P849">_xlfn.IFS(Computed_insight___Success_of_active_sellers__2[[#This Row],[rating]]&gt;=4.5, "Excellent ", Computed_insight___Success_of_active_sellers__2[[#This Row],[rating]]&gt;=4, "Good ", Computed_insight___Success_of_active_sellers__2[[#This Row],[rating]]&gt;=3.5, "Average", TRUE, "Poor ")</f>
        <v xml:space="preserve">Good </v>
      </c>
      <c r="Q849" s="2" t="str" cm="1">
        <f t="array" ref="Q84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49" s="2" t="str">
        <f>IF(Computed_insight___Success_of_active_sellers__2[[#This Row],[totalurgencycount]]&gt;0, "Has Banner", "No Banner")</f>
        <v>No Banner</v>
      </c>
    </row>
    <row r="850" spans="1:18" x14ac:dyDescent="0.3">
      <c r="A850">
        <v>848</v>
      </c>
      <c r="B850" t="s">
        <v>849</v>
      </c>
      <c r="C850">
        <v>1</v>
      </c>
      <c r="D850">
        <v>100</v>
      </c>
      <c r="E850">
        <v>100</v>
      </c>
      <c r="F850">
        <v>4.2270000000000003</v>
      </c>
      <c r="G850">
        <v>7740</v>
      </c>
      <c r="H850">
        <v>12</v>
      </c>
      <c r="I850">
        <v>102</v>
      </c>
      <c r="J850">
        <v>89</v>
      </c>
      <c r="K850">
        <v>89</v>
      </c>
      <c r="L850">
        <v>75</v>
      </c>
      <c r="O850" s="2" t="str" cm="1">
        <f t="array" ref="O85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50" s="2" t="str" cm="1">
        <f t="array" ref="P850">_xlfn.IFS(Computed_insight___Success_of_active_sellers__2[[#This Row],[rating]]&gt;=4.5, "Excellent ", Computed_insight___Success_of_active_sellers__2[[#This Row],[rating]]&gt;=4, "Good ", Computed_insight___Success_of_active_sellers__2[[#This Row],[rating]]&gt;=3.5, "Average", TRUE, "Poor ")</f>
        <v xml:space="preserve">Good </v>
      </c>
      <c r="Q850" s="2" t="str" cm="1">
        <f t="array" ref="Q85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50" s="2" t="str">
        <f>IF(Computed_insight___Success_of_active_sellers__2[[#This Row],[totalurgencycount]]&gt;0, "Has Banner", "No Banner")</f>
        <v>No Banner</v>
      </c>
    </row>
    <row r="851" spans="1:18" x14ac:dyDescent="0.3">
      <c r="A851">
        <v>849</v>
      </c>
      <c r="B851" t="s">
        <v>574</v>
      </c>
      <c r="C851">
        <v>1</v>
      </c>
      <c r="D851">
        <v>100</v>
      </c>
      <c r="E851">
        <v>100</v>
      </c>
      <c r="F851">
        <v>4.2279999999999998</v>
      </c>
      <c r="G851">
        <v>7328</v>
      </c>
      <c r="H851">
        <v>14</v>
      </c>
      <c r="I851">
        <v>92</v>
      </c>
      <c r="J851">
        <v>85</v>
      </c>
      <c r="K851">
        <v>85</v>
      </c>
      <c r="L851">
        <v>25</v>
      </c>
      <c r="O851" s="2" t="str" cm="1">
        <f t="array" ref="O85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51" s="2" t="str" cm="1">
        <f t="array" ref="P851">_xlfn.IFS(Computed_insight___Success_of_active_sellers__2[[#This Row],[rating]]&gt;=4.5, "Excellent ", Computed_insight___Success_of_active_sellers__2[[#This Row],[rating]]&gt;=4, "Good ", Computed_insight___Success_of_active_sellers__2[[#This Row],[rating]]&gt;=3.5, "Average", TRUE, "Poor ")</f>
        <v xml:space="preserve">Good </v>
      </c>
      <c r="Q851" s="2" t="str" cm="1">
        <f t="array" ref="Q85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51" s="2" t="str">
        <f>IF(Computed_insight___Success_of_active_sellers__2[[#This Row],[totalurgencycount]]&gt;0, "Has Banner", "No Banner")</f>
        <v>No Banner</v>
      </c>
    </row>
    <row r="852" spans="1:18" x14ac:dyDescent="0.3">
      <c r="A852">
        <v>850</v>
      </c>
      <c r="B852" t="s">
        <v>388</v>
      </c>
      <c r="C852">
        <v>1</v>
      </c>
      <c r="D852">
        <v>100</v>
      </c>
      <c r="E852">
        <v>100</v>
      </c>
      <c r="F852">
        <v>4.2279999999999998</v>
      </c>
      <c r="G852">
        <v>2228</v>
      </c>
      <c r="H852">
        <v>9</v>
      </c>
      <c r="I852">
        <v>46</v>
      </c>
      <c r="J852">
        <v>81</v>
      </c>
      <c r="K852">
        <v>81</v>
      </c>
      <c r="L852">
        <v>7</v>
      </c>
      <c r="O852" s="2" t="str" cm="1">
        <f t="array" ref="O85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52" s="2" t="str" cm="1">
        <f t="array" ref="P852">_xlfn.IFS(Computed_insight___Success_of_active_sellers__2[[#This Row],[rating]]&gt;=4.5, "Excellent ", Computed_insight___Success_of_active_sellers__2[[#This Row],[rating]]&gt;=4, "Good ", Computed_insight___Success_of_active_sellers__2[[#This Row],[rating]]&gt;=3.5, "Average", TRUE, "Poor ")</f>
        <v xml:space="preserve">Good </v>
      </c>
      <c r="Q852" s="2" t="str" cm="1">
        <f t="array" ref="Q85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52" s="2" t="str">
        <f>IF(Computed_insight___Success_of_active_sellers__2[[#This Row],[totalurgencycount]]&gt;0, "Has Banner", "No Banner")</f>
        <v>No Banner</v>
      </c>
    </row>
    <row r="853" spans="1:18" x14ac:dyDescent="0.3">
      <c r="A853">
        <v>851</v>
      </c>
      <c r="B853" t="s">
        <v>817</v>
      </c>
      <c r="C853">
        <v>1</v>
      </c>
      <c r="D853">
        <v>100</v>
      </c>
      <c r="E853">
        <v>100</v>
      </c>
      <c r="F853">
        <v>4.2320000000000002</v>
      </c>
      <c r="G853">
        <v>14664</v>
      </c>
      <c r="H853">
        <v>8</v>
      </c>
      <c r="I853">
        <v>85</v>
      </c>
      <c r="J853">
        <v>91</v>
      </c>
      <c r="K853">
        <v>91</v>
      </c>
      <c r="L853">
        <v>19</v>
      </c>
      <c r="O853" s="2" t="str" cm="1">
        <f t="array" ref="O85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53" s="2" t="str" cm="1">
        <f t="array" ref="P853">_xlfn.IFS(Computed_insight___Success_of_active_sellers__2[[#This Row],[rating]]&gt;=4.5, "Excellent ", Computed_insight___Success_of_active_sellers__2[[#This Row],[rating]]&gt;=4, "Good ", Computed_insight___Success_of_active_sellers__2[[#This Row],[rating]]&gt;=3.5, "Average", TRUE, "Poor ")</f>
        <v xml:space="preserve">Good </v>
      </c>
      <c r="Q853" s="2" t="str" cm="1">
        <f t="array" ref="Q85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53" s="2" t="str">
        <f>IF(Computed_insight___Success_of_active_sellers__2[[#This Row],[totalurgencycount]]&gt;0, "Has Banner", "No Banner")</f>
        <v>No Banner</v>
      </c>
    </row>
    <row r="854" spans="1:18" x14ac:dyDescent="0.3">
      <c r="A854">
        <v>852</v>
      </c>
      <c r="B854" t="s">
        <v>530</v>
      </c>
      <c r="C854">
        <v>1</v>
      </c>
      <c r="D854">
        <v>100</v>
      </c>
      <c r="E854">
        <v>100</v>
      </c>
      <c r="F854">
        <v>4.2320000000000002</v>
      </c>
      <c r="G854">
        <v>4501</v>
      </c>
      <c r="H854">
        <v>3.87</v>
      </c>
      <c r="I854">
        <v>15</v>
      </c>
      <c r="J854">
        <v>75</v>
      </c>
      <c r="K854">
        <v>75</v>
      </c>
      <c r="L854">
        <v>43</v>
      </c>
      <c r="O854" s="2" t="str" cm="1">
        <f t="array" ref="O85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54" s="2" t="str" cm="1">
        <f t="array" ref="P854">_xlfn.IFS(Computed_insight___Success_of_active_sellers__2[[#This Row],[rating]]&gt;=4.5, "Excellent ", Computed_insight___Success_of_active_sellers__2[[#This Row],[rating]]&gt;=4, "Good ", Computed_insight___Success_of_active_sellers__2[[#This Row],[rating]]&gt;=3.5, "Average", TRUE, "Poor ")</f>
        <v xml:space="preserve">Good </v>
      </c>
      <c r="Q854" s="2" t="str" cm="1">
        <f t="array" ref="Q85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54" s="2" t="str">
        <f>IF(Computed_insight___Success_of_active_sellers__2[[#This Row],[totalurgencycount]]&gt;0, "Has Banner", "No Banner")</f>
        <v>No Banner</v>
      </c>
    </row>
    <row r="855" spans="1:18" x14ac:dyDescent="0.3">
      <c r="A855">
        <v>853</v>
      </c>
      <c r="B855" t="s">
        <v>862</v>
      </c>
      <c r="C855">
        <v>1</v>
      </c>
      <c r="D855">
        <v>100</v>
      </c>
      <c r="E855">
        <v>100</v>
      </c>
      <c r="F855">
        <v>4.234</v>
      </c>
      <c r="G855">
        <v>487</v>
      </c>
      <c r="H855">
        <v>19</v>
      </c>
      <c r="I855">
        <v>17</v>
      </c>
      <c r="J855">
        <v>-11</v>
      </c>
      <c r="K855">
        <v>-11</v>
      </c>
      <c r="L855">
        <v>61</v>
      </c>
      <c r="O855" s="2" t="str" cm="1">
        <f t="array" ref="O85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55" s="2" t="str" cm="1">
        <f t="array" ref="P855">_xlfn.IFS(Computed_insight___Success_of_active_sellers__2[[#This Row],[rating]]&gt;=4.5, "Excellent ", Computed_insight___Success_of_active_sellers__2[[#This Row],[rating]]&gt;=4, "Good ", Computed_insight___Success_of_active_sellers__2[[#This Row],[rating]]&gt;=3.5, "Average", TRUE, "Poor ")</f>
        <v xml:space="preserve">Good </v>
      </c>
      <c r="Q855" s="2" t="str" cm="1">
        <f t="array" ref="Q85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55" s="2" t="str">
        <f>IF(Computed_insight___Success_of_active_sellers__2[[#This Row],[totalurgencycount]]&gt;0, "Has Banner", "No Banner")</f>
        <v>No Banner</v>
      </c>
    </row>
    <row r="856" spans="1:18" x14ac:dyDescent="0.3">
      <c r="A856">
        <v>854</v>
      </c>
      <c r="B856" t="s">
        <v>959</v>
      </c>
      <c r="C856">
        <v>1</v>
      </c>
      <c r="D856">
        <v>100</v>
      </c>
      <c r="E856">
        <v>100</v>
      </c>
      <c r="F856">
        <v>4.2359999999999998</v>
      </c>
      <c r="G856">
        <v>7023</v>
      </c>
      <c r="H856">
        <v>7</v>
      </c>
      <c r="I856">
        <v>6</v>
      </c>
      <c r="J856">
        <v>-16</v>
      </c>
      <c r="K856">
        <v>-16</v>
      </c>
      <c r="L856">
        <v>14</v>
      </c>
      <c r="O856" s="2" t="str" cm="1">
        <f t="array" ref="O85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56" s="2" t="str" cm="1">
        <f t="array" ref="P856">_xlfn.IFS(Computed_insight___Success_of_active_sellers__2[[#This Row],[rating]]&gt;=4.5, "Excellent ", Computed_insight___Success_of_active_sellers__2[[#This Row],[rating]]&gt;=4, "Good ", Computed_insight___Success_of_active_sellers__2[[#This Row],[rating]]&gt;=3.5, "Average", TRUE, "Poor ")</f>
        <v xml:space="preserve">Good </v>
      </c>
      <c r="Q856" s="2" t="str" cm="1">
        <f t="array" ref="Q85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56" s="2" t="str">
        <f>IF(Computed_insight___Success_of_active_sellers__2[[#This Row],[totalurgencycount]]&gt;0, "Has Banner", "No Banner")</f>
        <v>No Banner</v>
      </c>
    </row>
    <row r="857" spans="1:18" x14ac:dyDescent="0.3">
      <c r="A857">
        <v>855</v>
      </c>
      <c r="B857" t="s">
        <v>932</v>
      </c>
      <c r="C857">
        <v>1</v>
      </c>
      <c r="D857">
        <v>100</v>
      </c>
      <c r="E857">
        <v>100</v>
      </c>
      <c r="F857">
        <v>4.2380000000000004</v>
      </c>
      <c r="G857">
        <v>63</v>
      </c>
      <c r="H857">
        <v>8</v>
      </c>
      <c r="I857">
        <v>22</v>
      </c>
      <c r="J857">
        <v>64</v>
      </c>
      <c r="K857">
        <v>64</v>
      </c>
      <c r="L857">
        <v>10</v>
      </c>
      <c r="O857" s="2" t="str" cm="1">
        <f t="array" ref="O85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57" s="2" t="str" cm="1">
        <f t="array" ref="P857">_xlfn.IFS(Computed_insight___Success_of_active_sellers__2[[#This Row],[rating]]&gt;=4.5, "Excellent ", Computed_insight___Success_of_active_sellers__2[[#This Row],[rating]]&gt;=4, "Good ", Computed_insight___Success_of_active_sellers__2[[#This Row],[rating]]&gt;=3.5, "Average", TRUE, "Poor ")</f>
        <v xml:space="preserve">Good </v>
      </c>
      <c r="Q857" s="2" t="str" cm="1">
        <f t="array" ref="Q85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57" s="2" t="str">
        <f>IF(Computed_insight___Success_of_active_sellers__2[[#This Row],[totalurgencycount]]&gt;0, "Has Banner", "No Banner")</f>
        <v>No Banner</v>
      </c>
    </row>
    <row r="858" spans="1:18" x14ac:dyDescent="0.3">
      <c r="A858">
        <v>856</v>
      </c>
      <c r="B858" t="s">
        <v>606</v>
      </c>
      <c r="C858">
        <v>1</v>
      </c>
      <c r="D858">
        <v>100</v>
      </c>
      <c r="E858">
        <v>100</v>
      </c>
      <c r="F858">
        <v>4.24</v>
      </c>
      <c r="G858">
        <v>3769</v>
      </c>
      <c r="H858">
        <v>9</v>
      </c>
      <c r="I858">
        <v>8</v>
      </c>
      <c r="J858">
        <v>-12</v>
      </c>
      <c r="K858">
        <v>-12</v>
      </c>
      <c r="L858">
        <v>23</v>
      </c>
      <c r="O858" s="2" t="str" cm="1">
        <f t="array" ref="O85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58" s="2" t="str" cm="1">
        <f t="array" ref="P858">_xlfn.IFS(Computed_insight___Success_of_active_sellers__2[[#This Row],[rating]]&gt;=4.5, "Excellent ", Computed_insight___Success_of_active_sellers__2[[#This Row],[rating]]&gt;=4, "Good ", Computed_insight___Success_of_active_sellers__2[[#This Row],[rating]]&gt;=3.5, "Average", TRUE, "Poor ")</f>
        <v xml:space="preserve">Good </v>
      </c>
      <c r="Q858" s="2" t="str" cm="1">
        <f t="array" ref="Q85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58" s="2" t="str">
        <f>IF(Computed_insight___Success_of_active_sellers__2[[#This Row],[totalurgencycount]]&gt;0, "Has Banner", "No Banner")</f>
        <v>No Banner</v>
      </c>
    </row>
    <row r="859" spans="1:18" x14ac:dyDescent="0.3">
      <c r="A859">
        <v>857</v>
      </c>
      <c r="B859" t="s">
        <v>488</v>
      </c>
      <c r="C859">
        <v>1</v>
      </c>
      <c r="D859">
        <v>100</v>
      </c>
      <c r="E859">
        <v>100</v>
      </c>
      <c r="F859">
        <v>4.2430000000000003</v>
      </c>
      <c r="G859">
        <v>8888</v>
      </c>
      <c r="H859">
        <v>3.65</v>
      </c>
      <c r="I859">
        <v>9</v>
      </c>
      <c r="J859">
        <v>60</v>
      </c>
      <c r="K859">
        <v>60</v>
      </c>
      <c r="L859">
        <v>8</v>
      </c>
      <c r="O859" s="2" t="str" cm="1">
        <f t="array" ref="O85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59" s="2" t="str" cm="1">
        <f t="array" ref="P859">_xlfn.IFS(Computed_insight___Success_of_active_sellers__2[[#This Row],[rating]]&gt;=4.5, "Excellent ", Computed_insight___Success_of_active_sellers__2[[#This Row],[rating]]&gt;=4, "Good ", Computed_insight___Success_of_active_sellers__2[[#This Row],[rating]]&gt;=3.5, "Average", TRUE, "Poor ")</f>
        <v xml:space="preserve">Good </v>
      </c>
      <c r="Q859" s="2" t="str" cm="1">
        <f t="array" ref="Q85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59" s="2" t="str">
        <f>IF(Computed_insight___Success_of_active_sellers__2[[#This Row],[totalurgencycount]]&gt;0, "Has Banner", "No Banner")</f>
        <v>No Banner</v>
      </c>
    </row>
    <row r="860" spans="1:18" x14ac:dyDescent="0.3">
      <c r="A860">
        <v>858</v>
      </c>
      <c r="B860" t="s">
        <v>546</v>
      </c>
      <c r="C860">
        <v>1</v>
      </c>
      <c r="D860">
        <v>100</v>
      </c>
      <c r="E860">
        <v>100</v>
      </c>
      <c r="F860">
        <v>4.2439999999999998</v>
      </c>
      <c r="G860">
        <v>4758</v>
      </c>
      <c r="H860">
        <v>12</v>
      </c>
      <c r="I860">
        <v>100</v>
      </c>
      <c r="J860">
        <v>88</v>
      </c>
      <c r="K860">
        <v>88</v>
      </c>
      <c r="L860">
        <v>40</v>
      </c>
      <c r="M860">
        <v>1</v>
      </c>
      <c r="N860">
        <v>100</v>
      </c>
      <c r="O860" s="2" t="str" cm="1">
        <f t="array" ref="O86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60" s="2" t="str" cm="1">
        <f t="array" ref="P860">_xlfn.IFS(Computed_insight___Success_of_active_sellers__2[[#This Row],[rating]]&gt;=4.5, "Excellent ", Computed_insight___Success_of_active_sellers__2[[#This Row],[rating]]&gt;=4, "Good ", Computed_insight___Success_of_active_sellers__2[[#This Row],[rating]]&gt;=3.5, "Average", TRUE, "Poor ")</f>
        <v xml:space="preserve">Good </v>
      </c>
      <c r="Q860" s="2" t="str" cm="1">
        <f t="array" ref="Q86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60" s="2" t="str">
        <f>IF(Computed_insight___Success_of_active_sellers__2[[#This Row],[totalurgencycount]]&gt;0, "Has Banner", "No Banner")</f>
        <v>Has Banner</v>
      </c>
    </row>
    <row r="861" spans="1:18" x14ac:dyDescent="0.3">
      <c r="A861">
        <v>859</v>
      </c>
      <c r="B861" t="s">
        <v>608</v>
      </c>
      <c r="C861">
        <v>1</v>
      </c>
      <c r="D861">
        <v>100</v>
      </c>
      <c r="E861">
        <v>100</v>
      </c>
      <c r="F861">
        <v>4.2450000000000001</v>
      </c>
      <c r="G861">
        <v>1309</v>
      </c>
      <c r="H861">
        <v>2.79</v>
      </c>
      <c r="I861">
        <v>13</v>
      </c>
      <c r="J861">
        <v>79</v>
      </c>
      <c r="K861">
        <v>79</v>
      </c>
      <c r="L861">
        <v>2</v>
      </c>
      <c r="O861" s="2" t="str" cm="1">
        <f t="array" ref="O86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61" s="2" t="str" cm="1">
        <f t="array" ref="P861">_xlfn.IFS(Computed_insight___Success_of_active_sellers__2[[#This Row],[rating]]&gt;=4.5, "Excellent ", Computed_insight___Success_of_active_sellers__2[[#This Row],[rating]]&gt;=4, "Good ", Computed_insight___Success_of_active_sellers__2[[#This Row],[rating]]&gt;=3.5, "Average", TRUE, "Poor ")</f>
        <v xml:space="preserve">Good </v>
      </c>
      <c r="Q861" s="2" t="str" cm="1">
        <f t="array" ref="Q86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61" s="2" t="str">
        <f>IF(Computed_insight___Success_of_active_sellers__2[[#This Row],[totalurgencycount]]&gt;0, "Has Banner", "No Banner")</f>
        <v>No Banner</v>
      </c>
    </row>
    <row r="862" spans="1:18" x14ac:dyDescent="0.3">
      <c r="A862">
        <v>860</v>
      </c>
      <c r="B862" t="s">
        <v>321</v>
      </c>
      <c r="C862">
        <v>1</v>
      </c>
      <c r="D862">
        <v>100</v>
      </c>
      <c r="E862">
        <v>100</v>
      </c>
      <c r="F862">
        <v>4.2469999999999999</v>
      </c>
      <c r="G862">
        <v>299</v>
      </c>
      <c r="H862">
        <v>11</v>
      </c>
      <c r="I862">
        <v>10</v>
      </c>
      <c r="J862">
        <v>-10</v>
      </c>
      <c r="K862">
        <v>-10</v>
      </c>
      <c r="L862">
        <v>3</v>
      </c>
      <c r="O862" s="2" t="str" cm="1">
        <f t="array" ref="O86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62" s="2" t="str" cm="1">
        <f t="array" ref="P862">_xlfn.IFS(Computed_insight___Success_of_active_sellers__2[[#This Row],[rating]]&gt;=4.5, "Excellent ", Computed_insight___Success_of_active_sellers__2[[#This Row],[rating]]&gt;=4, "Good ", Computed_insight___Success_of_active_sellers__2[[#This Row],[rating]]&gt;=3.5, "Average", TRUE, "Poor ")</f>
        <v xml:space="preserve">Good </v>
      </c>
      <c r="Q862" s="2" t="str" cm="1">
        <f t="array" ref="Q86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62" s="2" t="str">
        <f>IF(Computed_insight___Success_of_active_sellers__2[[#This Row],[totalurgencycount]]&gt;0, "Has Banner", "No Banner")</f>
        <v>No Banner</v>
      </c>
    </row>
    <row r="863" spans="1:18" x14ac:dyDescent="0.3">
      <c r="A863">
        <v>861</v>
      </c>
      <c r="B863" t="s">
        <v>914</v>
      </c>
      <c r="C863">
        <v>1</v>
      </c>
      <c r="D863">
        <v>100</v>
      </c>
      <c r="E863">
        <v>100</v>
      </c>
      <c r="F863">
        <v>4.2480000000000002</v>
      </c>
      <c r="G863">
        <v>7218</v>
      </c>
      <c r="H863">
        <v>2.69</v>
      </c>
      <c r="I863">
        <v>3</v>
      </c>
      <c r="J863">
        <v>11</v>
      </c>
      <c r="K863">
        <v>11</v>
      </c>
      <c r="L863">
        <v>1</v>
      </c>
      <c r="O863" s="2" t="str" cm="1">
        <f t="array" ref="O86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63" s="2" t="str" cm="1">
        <f t="array" ref="P863">_xlfn.IFS(Computed_insight___Success_of_active_sellers__2[[#This Row],[rating]]&gt;=4.5, "Excellent ", Computed_insight___Success_of_active_sellers__2[[#This Row],[rating]]&gt;=4, "Good ", Computed_insight___Success_of_active_sellers__2[[#This Row],[rating]]&gt;=3.5, "Average", TRUE, "Poor ")</f>
        <v xml:space="preserve">Good </v>
      </c>
      <c r="Q863" s="2" t="str" cm="1">
        <f t="array" ref="Q863">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863" s="2" t="str">
        <f>IF(Computed_insight___Success_of_active_sellers__2[[#This Row],[totalurgencycount]]&gt;0, "Has Banner", "No Banner")</f>
        <v>No Banner</v>
      </c>
    </row>
    <row r="864" spans="1:18" x14ac:dyDescent="0.3">
      <c r="A864">
        <v>862</v>
      </c>
      <c r="B864" t="s">
        <v>404</v>
      </c>
      <c r="C864">
        <v>1</v>
      </c>
      <c r="D864">
        <v>100</v>
      </c>
      <c r="E864">
        <v>100</v>
      </c>
      <c r="F864">
        <v>4.2640000000000002</v>
      </c>
      <c r="G864">
        <v>16994</v>
      </c>
      <c r="H864">
        <v>11</v>
      </c>
      <c r="I864">
        <v>10</v>
      </c>
      <c r="J864">
        <v>-10</v>
      </c>
      <c r="K864">
        <v>-10</v>
      </c>
      <c r="L864">
        <v>51</v>
      </c>
      <c r="O864" s="2" t="str" cm="1">
        <f t="array" ref="O86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64" s="2" t="str" cm="1">
        <f t="array" ref="P864">_xlfn.IFS(Computed_insight___Success_of_active_sellers__2[[#This Row],[rating]]&gt;=4.5, "Excellent ", Computed_insight___Success_of_active_sellers__2[[#This Row],[rating]]&gt;=4, "Good ", Computed_insight___Success_of_active_sellers__2[[#This Row],[rating]]&gt;=3.5, "Average", TRUE, "Poor ")</f>
        <v xml:space="preserve">Good </v>
      </c>
      <c r="Q864" s="2" t="str" cm="1">
        <f t="array" ref="Q86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64" s="2" t="str">
        <f>IF(Computed_insight___Success_of_active_sellers__2[[#This Row],[totalurgencycount]]&gt;0, "Has Banner", "No Banner")</f>
        <v>No Banner</v>
      </c>
    </row>
    <row r="865" spans="1:18" x14ac:dyDescent="0.3">
      <c r="A865">
        <v>863</v>
      </c>
      <c r="B865" t="s">
        <v>228</v>
      </c>
      <c r="C865">
        <v>1</v>
      </c>
      <c r="D865">
        <v>100</v>
      </c>
      <c r="E865">
        <v>100</v>
      </c>
      <c r="F865">
        <v>4.2640000000000002</v>
      </c>
      <c r="G865">
        <v>855</v>
      </c>
      <c r="H865">
        <v>7</v>
      </c>
      <c r="I865">
        <v>6</v>
      </c>
      <c r="J865">
        <v>-16</v>
      </c>
      <c r="K865">
        <v>-16</v>
      </c>
      <c r="L865">
        <v>11</v>
      </c>
      <c r="O865" s="2" t="str" cm="1">
        <f t="array" ref="O86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65" s="2" t="str" cm="1">
        <f t="array" ref="P865">_xlfn.IFS(Computed_insight___Success_of_active_sellers__2[[#This Row],[rating]]&gt;=4.5, "Excellent ", Computed_insight___Success_of_active_sellers__2[[#This Row],[rating]]&gt;=4, "Good ", Computed_insight___Success_of_active_sellers__2[[#This Row],[rating]]&gt;=3.5, "Average", TRUE, "Poor ")</f>
        <v xml:space="preserve">Good </v>
      </c>
      <c r="Q865" s="2" t="str" cm="1">
        <f t="array" ref="Q86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65" s="2" t="str">
        <f>IF(Computed_insight___Success_of_active_sellers__2[[#This Row],[totalurgencycount]]&gt;0, "Has Banner", "No Banner")</f>
        <v>No Banner</v>
      </c>
    </row>
    <row r="866" spans="1:18" x14ac:dyDescent="0.3">
      <c r="A866">
        <v>864</v>
      </c>
      <c r="B866" t="s">
        <v>130</v>
      </c>
      <c r="C866">
        <v>1</v>
      </c>
      <c r="D866">
        <v>100</v>
      </c>
      <c r="E866">
        <v>100</v>
      </c>
      <c r="F866">
        <v>4.2720000000000002</v>
      </c>
      <c r="G866">
        <v>1088</v>
      </c>
      <c r="H866">
        <v>16</v>
      </c>
      <c r="I866">
        <v>76</v>
      </c>
      <c r="J866">
        <v>79</v>
      </c>
      <c r="K866">
        <v>79</v>
      </c>
      <c r="L866">
        <v>38</v>
      </c>
      <c r="O866" s="2" t="str" cm="1">
        <f t="array" ref="O86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66" s="2" t="str" cm="1">
        <f t="array" ref="P866">_xlfn.IFS(Computed_insight___Success_of_active_sellers__2[[#This Row],[rating]]&gt;=4.5, "Excellent ", Computed_insight___Success_of_active_sellers__2[[#This Row],[rating]]&gt;=4, "Good ", Computed_insight___Success_of_active_sellers__2[[#This Row],[rating]]&gt;=3.5, "Average", TRUE, "Poor ")</f>
        <v xml:space="preserve">Good </v>
      </c>
      <c r="Q866" s="2" t="str" cm="1">
        <f t="array" ref="Q86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66" s="2" t="str">
        <f>IF(Computed_insight___Success_of_active_sellers__2[[#This Row],[totalurgencycount]]&gt;0, "Has Banner", "No Banner")</f>
        <v>No Banner</v>
      </c>
    </row>
    <row r="867" spans="1:18" x14ac:dyDescent="0.3">
      <c r="A867">
        <v>865</v>
      </c>
      <c r="B867" t="s">
        <v>821</v>
      </c>
      <c r="C867">
        <v>1</v>
      </c>
      <c r="D867">
        <v>100</v>
      </c>
      <c r="E867">
        <v>100</v>
      </c>
      <c r="F867">
        <v>4.274</v>
      </c>
      <c r="G867">
        <v>8950</v>
      </c>
      <c r="H867">
        <v>18</v>
      </c>
      <c r="I867">
        <v>76</v>
      </c>
      <c r="J867">
        <v>77</v>
      </c>
      <c r="K867">
        <v>77</v>
      </c>
      <c r="L867">
        <v>120</v>
      </c>
      <c r="M867">
        <v>1</v>
      </c>
      <c r="N867">
        <v>100</v>
      </c>
      <c r="O867" s="2" t="str" cm="1">
        <f t="array" ref="O86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67" s="2" t="str" cm="1">
        <f t="array" ref="P867">_xlfn.IFS(Computed_insight___Success_of_active_sellers__2[[#This Row],[rating]]&gt;=4.5, "Excellent ", Computed_insight___Success_of_active_sellers__2[[#This Row],[rating]]&gt;=4, "Good ", Computed_insight___Success_of_active_sellers__2[[#This Row],[rating]]&gt;=3.5, "Average", TRUE, "Poor ")</f>
        <v xml:space="preserve">Good </v>
      </c>
      <c r="Q867" s="2" t="str" cm="1">
        <f t="array" ref="Q86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67" s="2" t="str">
        <f>IF(Computed_insight___Success_of_active_sellers__2[[#This Row],[totalurgencycount]]&gt;0, "Has Banner", "No Banner")</f>
        <v>Has Banner</v>
      </c>
    </row>
    <row r="868" spans="1:18" x14ac:dyDescent="0.3">
      <c r="A868">
        <v>866</v>
      </c>
      <c r="B868" t="s">
        <v>571</v>
      </c>
      <c r="C868">
        <v>1</v>
      </c>
      <c r="D868">
        <v>100</v>
      </c>
      <c r="E868">
        <v>100</v>
      </c>
      <c r="F868">
        <v>4.2759999999999998</v>
      </c>
      <c r="G868">
        <v>8443</v>
      </c>
      <c r="H868">
        <v>4.66</v>
      </c>
      <c r="I868">
        <v>11</v>
      </c>
      <c r="J868">
        <v>58</v>
      </c>
      <c r="K868">
        <v>58</v>
      </c>
      <c r="L868">
        <v>24</v>
      </c>
      <c r="O868" s="2" t="str" cm="1">
        <f t="array" ref="O86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68" s="2" t="str" cm="1">
        <f t="array" ref="P868">_xlfn.IFS(Computed_insight___Success_of_active_sellers__2[[#This Row],[rating]]&gt;=4.5, "Excellent ", Computed_insight___Success_of_active_sellers__2[[#This Row],[rating]]&gt;=4, "Good ", Computed_insight___Success_of_active_sellers__2[[#This Row],[rating]]&gt;=3.5, "Average", TRUE, "Poor ")</f>
        <v xml:space="preserve">Good </v>
      </c>
      <c r="Q868" s="2" t="str" cm="1">
        <f t="array" ref="Q86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68" s="2" t="str">
        <f>IF(Computed_insight___Success_of_active_sellers__2[[#This Row],[totalurgencycount]]&gt;0, "Has Banner", "No Banner")</f>
        <v>No Banner</v>
      </c>
    </row>
    <row r="869" spans="1:18" x14ac:dyDescent="0.3">
      <c r="A869">
        <v>867</v>
      </c>
      <c r="B869" t="s">
        <v>838</v>
      </c>
      <c r="C869">
        <v>1</v>
      </c>
      <c r="D869">
        <v>100</v>
      </c>
      <c r="E869">
        <v>100</v>
      </c>
      <c r="F869">
        <v>4.2779999999999996</v>
      </c>
      <c r="G869">
        <v>12745</v>
      </c>
      <c r="H869">
        <v>8</v>
      </c>
      <c r="I869">
        <v>7</v>
      </c>
      <c r="J869">
        <v>-14</v>
      </c>
      <c r="K869">
        <v>-14</v>
      </c>
      <c r="L869">
        <v>139</v>
      </c>
      <c r="O869" s="2" t="str" cm="1">
        <f t="array" ref="O86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69" s="2" t="str" cm="1">
        <f t="array" ref="P869">_xlfn.IFS(Computed_insight___Success_of_active_sellers__2[[#This Row],[rating]]&gt;=4.5, "Excellent ", Computed_insight___Success_of_active_sellers__2[[#This Row],[rating]]&gt;=4, "Good ", Computed_insight___Success_of_active_sellers__2[[#This Row],[rating]]&gt;=3.5, "Average", TRUE, "Poor ")</f>
        <v xml:space="preserve">Good </v>
      </c>
      <c r="Q869" s="2" t="str" cm="1">
        <f t="array" ref="Q86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69" s="2" t="str">
        <f>IF(Computed_insight___Success_of_active_sellers__2[[#This Row],[totalurgencycount]]&gt;0, "Has Banner", "No Banner")</f>
        <v>No Banner</v>
      </c>
    </row>
    <row r="870" spans="1:18" x14ac:dyDescent="0.3">
      <c r="A870">
        <v>868</v>
      </c>
      <c r="B870" t="s">
        <v>549</v>
      </c>
      <c r="C870">
        <v>1</v>
      </c>
      <c r="D870">
        <v>100</v>
      </c>
      <c r="E870">
        <v>100</v>
      </c>
      <c r="F870">
        <v>4.2830000000000004</v>
      </c>
      <c r="G870">
        <v>120</v>
      </c>
      <c r="H870">
        <v>11</v>
      </c>
      <c r="I870">
        <v>10</v>
      </c>
      <c r="J870">
        <v>-10</v>
      </c>
      <c r="K870">
        <v>-10</v>
      </c>
      <c r="L870">
        <v>8</v>
      </c>
      <c r="M870">
        <v>1</v>
      </c>
      <c r="N870">
        <v>100</v>
      </c>
      <c r="O870" s="2" t="str" cm="1">
        <f t="array" ref="O87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70" s="2" t="str" cm="1">
        <f t="array" ref="P870">_xlfn.IFS(Computed_insight___Success_of_active_sellers__2[[#This Row],[rating]]&gt;=4.5, "Excellent ", Computed_insight___Success_of_active_sellers__2[[#This Row],[rating]]&gt;=4, "Good ", Computed_insight___Success_of_active_sellers__2[[#This Row],[rating]]&gt;=3.5, "Average", TRUE, "Poor ")</f>
        <v xml:space="preserve">Good </v>
      </c>
      <c r="Q870" s="2" t="str" cm="1">
        <f t="array" ref="Q87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70" s="2" t="str">
        <f>IF(Computed_insight___Success_of_active_sellers__2[[#This Row],[totalurgencycount]]&gt;0, "Has Banner", "No Banner")</f>
        <v>Has Banner</v>
      </c>
    </row>
    <row r="871" spans="1:18" x14ac:dyDescent="0.3">
      <c r="A871">
        <v>869</v>
      </c>
      <c r="B871" t="s">
        <v>721</v>
      </c>
      <c r="C871">
        <v>1</v>
      </c>
      <c r="D871">
        <v>100</v>
      </c>
      <c r="E871">
        <v>100</v>
      </c>
      <c r="F871">
        <v>4.2880000000000003</v>
      </c>
      <c r="G871">
        <v>29265</v>
      </c>
      <c r="H871">
        <v>14</v>
      </c>
      <c r="I871">
        <v>84</v>
      </c>
      <c r="J871">
        <v>84</v>
      </c>
      <c r="K871">
        <v>84</v>
      </c>
      <c r="L871">
        <v>103</v>
      </c>
      <c r="O871" s="2" t="str" cm="1">
        <f t="array" ref="O87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71" s="2" t="str" cm="1">
        <f t="array" ref="P871">_xlfn.IFS(Computed_insight___Success_of_active_sellers__2[[#This Row],[rating]]&gt;=4.5, "Excellent ", Computed_insight___Success_of_active_sellers__2[[#This Row],[rating]]&gt;=4, "Good ", Computed_insight___Success_of_active_sellers__2[[#This Row],[rating]]&gt;=3.5, "Average", TRUE, "Poor ")</f>
        <v xml:space="preserve">Good </v>
      </c>
      <c r="Q871" s="2" t="str" cm="1">
        <f t="array" ref="Q87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71" s="2" t="str">
        <f>IF(Computed_insight___Success_of_active_sellers__2[[#This Row],[totalurgencycount]]&gt;0, "Has Banner", "No Banner")</f>
        <v>No Banner</v>
      </c>
    </row>
    <row r="872" spans="1:18" x14ac:dyDescent="0.3">
      <c r="A872">
        <v>870</v>
      </c>
      <c r="B872" t="s">
        <v>505</v>
      </c>
      <c r="C872">
        <v>1</v>
      </c>
      <c r="D872">
        <v>100</v>
      </c>
      <c r="E872">
        <v>100</v>
      </c>
      <c r="F872">
        <v>4.29</v>
      </c>
      <c r="G872">
        <v>3190</v>
      </c>
      <c r="H872">
        <v>9</v>
      </c>
      <c r="I872">
        <v>17</v>
      </c>
      <c r="J872">
        <v>48</v>
      </c>
      <c r="K872">
        <v>48</v>
      </c>
      <c r="L872">
        <v>92</v>
      </c>
      <c r="O872" s="2" t="str" cm="1">
        <f t="array" ref="O87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72" s="2" t="str" cm="1">
        <f t="array" ref="P872">_xlfn.IFS(Computed_insight___Success_of_active_sellers__2[[#This Row],[rating]]&gt;=4.5, "Excellent ", Computed_insight___Success_of_active_sellers__2[[#This Row],[rating]]&gt;=4, "Good ", Computed_insight___Success_of_active_sellers__2[[#This Row],[rating]]&gt;=3.5, "Average", TRUE, "Poor ")</f>
        <v xml:space="preserve">Good </v>
      </c>
      <c r="Q872" s="2" t="str" cm="1">
        <f t="array" ref="Q872">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872" s="2" t="str">
        <f>IF(Computed_insight___Success_of_active_sellers__2[[#This Row],[totalurgencycount]]&gt;0, "Has Banner", "No Banner")</f>
        <v>No Banner</v>
      </c>
    </row>
    <row r="873" spans="1:18" x14ac:dyDescent="0.3">
      <c r="A873">
        <v>871</v>
      </c>
      <c r="B873" t="s">
        <v>348</v>
      </c>
      <c r="C873">
        <v>1</v>
      </c>
      <c r="D873">
        <v>100</v>
      </c>
      <c r="E873">
        <v>100</v>
      </c>
      <c r="F873">
        <v>4.2990000000000004</v>
      </c>
      <c r="G873">
        <v>3028</v>
      </c>
      <c r="H873">
        <v>5.65</v>
      </c>
      <c r="I873">
        <v>26</v>
      </c>
      <c r="J873">
        <v>79</v>
      </c>
      <c r="K873">
        <v>79</v>
      </c>
      <c r="L873">
        <v>33</v>
      </c>
      <c r="O873" s="2" t="str" cm="1">
        <f t="array" ref="O87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73" s="2" t="str" cm="1">
        <f t="array" ref="P873">_xlfn.IFS(Computed_insight___Success_of_active_sellers__2[[#This Row],[rating]]&gt;=4.5, "Excellent ", Computed_insight___Success_of_active_sellers__2[[#This Row],[rating]]&gt;=4, "Good ", Computed_insight___Success_of_active_sellers__2[[#This Row],[rating]]&gt;=3.5, "Average", TRUE, "Poor ")</f>
        <v xml:space="preserve">Good </v>
      </c>
      <c r="Q873" s="2" t="str" cm="1">
        <f t="array" ref="Q87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73" s="2" t="str">
        <f>IF(Computed_insight___Success_of_active_sellers__2[[#This Row],[totalurgencycount]]&gt;0, "Has Banner", "No Banner")</f>
        <v>No Banner</v>
      </c>
    </row>
    <row r="874" spans="1:18" x14ac:dyDescent="0.3">
      <c r="A874">
        <v>872</v>
      </c>
      <c r="B874" t="s">
        <v>876</v>
      </c>
      <c r="C874">
        <v>1</v>
      </c>
      <c r="D874">
        <v>100</v>
      </c>
      <c r="E874">
        <v>100</v>
      </c>
      <c r="F874">
        <v>4.3109999999999999</v>
      </c>
      <c r="G874">
        <v>19632</v>
      </c>
      <c r="H874">
        <v>16</v>
      </c>
      <c r="I874">
        <v>50</v>
      </c>
      <c r="J874">
        <v>68</v>
      </c>
      <c r="K874">
        <v>68</v>
      </c>
      <c r="L874">
        <v>46</v>
      </c>
      <c r="O874" s="2" t="str" cm="1">
        <f t="array" ref="O87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74" s="2" t="str" cm="1">
        <f t="array" ref="P874">_xlfn.IFS(Computed_insight___Success_of_active_sellers__2[[#This Row],[rating]]&gt;=4.5, "Excellent ", Computed_insight___Success_of_active_sellers__2[[#This Row],[rating]]&gt;=4, "Good ", Computed_insight___Success_of_active_sellers__2[[#This Row],[rating]]&gt;=3.5, "Average", TRUE, "Poor ")</f>
        <v xml:space="preserve">Good </v>
      </c>
      <c r="Q874" s="2" t="str" cm="1">
        <f t="array" ref="Q87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74" s="2" t="str">
        <f>IF(Computed_insight___Success_of_active_sellers__2[[#This Row],[totalurgencycount]]&gt;0, "Has Banner", "No Banner")</f>
        <v>No Banner</v>
      </c>
    </row>
    <row r="875" spans="1:18" x14ac:dyDescent="0.3">
      <c r="A875">
        <v>873</v>
      </c>
      <c r="B875" t="s">
        <v>473</v>
      </c>
      <c r="C875">
        <v>1</v>
      </c>
      <c r="D875">
        <v>100</v>
      </c>
      <c r="E875">
        <v>100</v>
      </c>
      <c r="F875">
        <v>4.3250000000000002</v>
      </c>
      <c r="G875">
        <v>1151</v>
      </c>
      <c r="H875">
        <v>11</v>
      </c>
      <c r="I875">
        <v>10</v>
      </c>
      <c r="J875">
        <v>-10</v>
      </c>
      <c r="K875">
        <v>-10</v>
      </c>
      <c r="L875">
        <v>28</v>
      </c>
      <c r="O875" s="2" t="str" cm="1">
        <f t="array" ref="O87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75" s="2" t="str" cm="1">
        <f t="array" ref="P875">_xlfn.IFS(Computed_insight___Success_of_active_sellers__2[[#This Row],[rating]]&gt;=4.5, "Excellent ", Computed_insight___Success_of_active_sellers__2[[#This Row],[rating]]&gt;=4, "Good ", Computed_insight___Success_of_active_sellers__2[[#This Row],[rating]]&gt;=3.5, "Average", TRUE, "Poor ")</f>
        <v xml:space="preserve">Good </v>
      </c>
      <c r="Q875" s="2" t="str" cm="1">
        <f t="array" ref="Q87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75" s="2" t="str">
        <f>IF(Computed_insight___Success_of_active_sellers__2[[#This Row],[totalurgencycount]]&gt;0, "Has Banner", "No Banner")</f>
        <v>No Banner</v>
      </c>
    </row>
    <row r="876" spans="1:18" x14ac:dyDescent="0.3">
      <c r="A876">
        <v>874</v>
      </c>
      <c r="B876" t="s">
        <v>293</v>
      </c>
      <c r="C876">
        <v>1</v>
      </c>
      <c r="D876">
        <v>100</v>
      </c>
      <c r="E876">
        <v>100</v>
      </c>
      <c r="F876">
        <v>4.3369999999999997</v>
      </c>
      <c r="G876">
        <v>34975</v>
      </c>
      <c r="H876">
        <v>9</v>
      </c>
      <c r="I876">
        <v>8</v>
      </c>
      <c r="J876">
        <v>-12</v>
      </c>
      <c r="K876">
        <v>-12</v>
      </c>
      <c r="L876">
        <v>27</v>
      </c>
      <c r="O876" s="2" t="str" cm="1">
        <f t="array" ref="O87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76" s="2" t="str" cm="1">
        <f t="array" ref="P876">_xlfn.IFS(Computed_insight___Success_of_active_sellers__2[[#This Row],[rating]]&gt;=4.5, "Excellent ", Computed_insight___Success_of_active_sellers__2[[#This Row],[rating]]&gt;=4, "Good ", Computed_insight___Success_of_active_sellers__2[[#This Row],[rating]]&gt;=3.5, "Average", TRUE, "Poor ")</f>
        <v xml:space="preserve">Good </v>
      </c>
      <c r="Q876" s="2" t="str" cm="1">
        <f t="array" ref="Q87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76" s="2" t="str">
        <f>IF(Computed_insight___Success_of_active_sellers__2[[#This Row],[totalurgencycount]]&gt;0, "Has Banner", "No Banner")</f>
        <v>No Banner</v>
      </c>
    </row>
    <row r="877" spans="1:18" x14ac:dyDescent="0.3">
      <c r="A877">
        <v>875</v>
      </c>
      <c r="B877" t="s">
        <v>518</v>
      </c>
      <c r="C877">
        <v>1</v>
      </c>
      <c r="D877">
        <v>100</v>
      </c>
      <c r="E877">
        <v>100</v>
      </c>
      <c r="F877">
        <v>4.3369999999999997</v>
      </c>
      <c r="G877">
        <v>7012</v>
      </c>
      <c r="H877">
        <v>8</v>
      </c>
      <c r="I877">
        <v>7</v>
      </c>
      <c r="J877">
        <v>-14</v>
      </c>
      <c r="K877">
        <v>-14</v>
      </c>
      <c r="L877">
        <v>14</v>
      </c>
      <c r="O877" s="2" t="str" cm="1">
        <f t="array" ref="O87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77" s="2" t="str" cm="1">
        <f t="array" ref="P877">_xlfn.IFS(Computed_insight___Success_of_active_sellers__2[[#This Row],[rating]]&gt;=4.5, "Excellent ", Computed_insight___Success_of_active_sellers__2[[#This Row],[rating]]&gt;=4, "Good ", Computed_insight___Success_of_active_sellers__2[[#This Row],[rating]]&gt;=3.5, "Average", TRUE, "Poor ")</f>
        <v xml:space="preserve">Good </v>
      </c>
      <c r="Q877" s="2" t="str" cm="1">
        <f t="array" ref="Q87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77" s="2" t="str">
        <f>IF(Computed_insight___Success_of_active_sellers__2[[#This Row],[totalurgencycount]]&gt;0, "Has Banner", "No Banner")</f>
        <v>No Banner</v>
      </c>
    </row>
    <row r="878" spans="1:18" x14ac:dyDescent="0.3">
      <c r="A878">
        <v>876</v>
      </c>
      <c r="B878" t="s">
        <v>900</v>
      </c>
      <c r="C878">
        <v>1</v>
      </c>
      <c r="D878">
        <v>100</v>
      </c>
      <c r="E878">
        <v>100</v>
      </c>
      <c r="F878">
        <v>4.3410000000000002</v>
      </c>
      <c r="G878">
        <v>1972</v>
      </c>
      <c r="H878">
        <v>5.85</v>
      </c>
      <c r="I878">
        <v>43</v>
      </c>
      <c r="J878">
        <v>87</v>
      </c>
      <c r="K878">
        <v>87</v>
      </c>
      <c r="L878">
        <v>45</v>
      </c>
      <c r="O878" s="2" t="str" cm="1">
        <f t="array" ref="O87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78" s="2" t="str" cm="1">
        <f t="array" ref="P878">_xlfn.IFS(Computed_insight___Success_of_active_sellers__2[[#This Row],[rating]]&gt;=4.5, "Excellent ", Computed_insight___Success_of_active_sellers__2[[#This Row],[rating]]&gt;=4, "Good ", Computed_insight___Success_of_active_sellers__2[[#This Row],[rating]]&gt;=3.5, "Average", TRUE, "Poor ")</f>
        <v xml:space="preserve">Good </v>
      </c>
      <c r="Q878" s="2" t="str" cm="1">
        <f t="array" ref="Q87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78" s="2" t="str">
        <f>IF(Computed_insight___Success_of_active_sellers__2[[#This Row],[totalurgencycount]]&gt;0, "Has Banner", "No Banner")</f>
        <v>No Banner</v>
      </c>
    </row>
    <row r="879" spans="1:18" x14ac:dyDescent="0.3">
      <c r="A879">
        <v>877</v>
      </c>
      <c r="B879" t="s">
        <v>760</v>
      </c>
      <c r="C879">
        <v>1</v>
      </c>
      <c r="D879">
        <v>100</v>
      </c>
      <c r="E879">
        <v>100</v>
      </c>
      <c r="F879">
        <v>4.343</v>
      </c>
      <c r="G879">
        <v>3038</v>
      </c>
      <c r="H879">
        <v>7</v>
      </c>
      <c r="I879">
        <v>6</v>
      </c>
      <c r="J879">
        <v>-16</v>
      </c>
      <c r="K879">
        <v>-16</v>
      </c>
      <c r="L879">
        <v>57</v>
      </c>
      <c r="M879">
        <v>1</v>
      </c>
      <c r="N879">
        <v>100</v>
      </c>
      <c r="O879" s="2" t="str" cm="1">
        <f t="array" ref="O87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79" s="2" t="str" cm="1">
        <f t="array" ref="P879">_xlfn.IFS(Computed_insight___Success_of_active_sellers__2[[#This Row],[rating]]&gt;=4.5, "Excellent ", Computed_insight___Success_of_active_sellers__2[[#This Row],[rating]]&gt;=4, "Good ", Computed_insight___Success_of_active_sellers__2[[#This Row],[rating]]&gt;=3.5, "Average", TRUE, "Poor ")</f>
        <v xml:space="preserve">Good </v>
      </c>
      <c r="Q879" s="2" t="str" cm="1">
        <f t="array" ref="Q87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79" s="2" t="str">
        <f>IF(Computed_insight___Success_of_active_sellers__2[[#This Row],[totalurgencycount]]&gt;0, "Has Banner", "No Banner")</f>
        <v>Has Banner</v>
      </c>
    </row>
    <row r="880" spans="1:18" x14ac:dyDescent="0.3">
      <c r="A880">
        <v>878</v>
      </c>
      <c r="B880" t="s">
        <v>871</v>
      </c>
      <c r="C880">
        <v>1</v>
      </c>
      <c r="D880">
        <v>100</v>
      </c>
      <c r="E880">
        <v>100</v>
      </c>
      <c r="F880">
        <v>4.3650000000000002</v>
      </c>
      <c r="G880">
        <v>96</v>
      </c>
      <c r="H880">
        <v>5.86</v>
      </c>
      <c r="I880">
        <v>5</v>
      </c>
      <c r="J880">
        <v>-17</v>
      </c>
      <c r="K880">
        <v>-17</v>
      </c>
      <c r="L880">
        <v>76</v>
      </c>
      <c r="O880" s="2" t="str" cm="1">
        <f t="array" ref="O88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80" s="2" t="str" cm="1">
        <f t="array" ref="P880">_xlfn.IFS(Computed_insight___Success_of_active_sellers__2[[#This Row],[rating]]&gt;=4.5, "Excellent ", Computed_insight___Success_of_active_sellers__2[[#This Row],[rating]]&gt;=4, "Good ", Computed_insight___Success_of_active_sellers__2[[#This Row],[rating]]&gt;=3.5, "Average", TRUE, "Poor ")</f>
        <v xml:space="preserve">Good </v>
      </c>
      <c r="Q880" s="2" t="str" cm="1">
        <f t="array" ref="Q88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80" s="2" t="str">
        <f>IF(Computed_insight___Success_of_active_sellers__2[[#This Row],[totalurgencycount]]&gt;0, "Has Banner", "No Banner")</f>
        <v>No Banner</v>
      </c>
    </row>
    <row r="881" spans="1:18" x14ac:dyDescent="0.3">
      <c r="A881">
        <v>879</v>
      </c>
      <c r="B881" t="s">
        <v>43</v>
      </c>
      <c r="C881">
        <v>1</v>
      </c>
      <c r="D881">
        <v>100</v>
      </c>
      <c r="E881">
        <v>100</v>
      </c>
      <c r="F881">
        <v>4.3650000000000002</v>
      </c>
      <c r="G881">
        <v>10917</v>
      </c>
      <c r="H881">
        <v>3.69</v>
      </c>
      <c r="I881">
        <v>40</v>
      </c>
      <c r="J881">
        <v>91</v>
      </c>
      <c r="K881">
        <v>91</v>
      </c>
      <c r="L881">
        <v>59</v>
      </c>
      <c r="M881">
        <v>1</v>
      </c>
      <c r="N881">
        <v>100</v>
      </c>
      <c r="O881" s="2" t="str" cm="1">
        <f t="array" ref="O88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81" s="2" t="str" cm="1">
        <f t="array" ref="P881">_xlfn.IFS(Computed_insight___Success_of_active_sellers__2[[#This Row],[rating]]&gt;=4.5, "Excellent ", Computed_insight___Success_of_active_sellers__2[[#This Row],[rating]]&gt;=4, "Good ", Computed_insight___Success_of_active_sellers__2[[#This Row],[rating]]&gt;=3.5, "Average", TRUE, "Poor ")</f>
        <v xml:space="preserve">Good </v>
      </c>
      <c r="Q881" s="2" t="str" cm="1">
        <f t="array" ref="Q88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81" s="2" t="str">
        <f>IF(Computed_insight___Success_of_active_sellers__2[[#This Row],[totalurgencycount]]&gt;0, "Has Banner", "No Banner")</f>
        <v>Has Banner</v>
      </c>
    </row>
    <row r="882" spans="1:18" x14ac:dyDescent="0.3">
      <c r="A882">
        <v>880</v>
      </c>
      <c r="B882" t="s">
        <v>693</v>
      </c>
      <c r="C882">
        <v>1</v>
      </c>
      <c r="D882">
        <v>100</v>
      </c>
      <c r="E882">
        <v>100</v>
      </c>
      <c r="F882">
        <v>4.3659999999999997</v>
      </c>
      <c r="G882">
        <v>6121</v>
      </c>
      <c r="H882">
        <v>11</v>
      </c>
      <c r="I882">
        <v>42</v>
      </c>
      <c r="J882">
        <v>74</v>
      </c>
      <c r="K882">
        <v>74</v>
      </c>
      <c r="L882">
        <v>55</v>
      </c>
      <c r="M882">
        <v>1</v>
      </c>
      <c r="N882">
        <v>100</v>
      </c>
      <c r="O882" s="2" t="str" cm="1">
        <f t="array" ref="O88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82" s="2" t="str" cm="1">
        <f t="array" ref="P882">_xlfn.IFS(Computed_insight___Success_of_active_sellers__2[[#This Row],[rating]]&gt;=4.5, "Excellent ", Computed_insight___Success_of_active_sellers__2[[#This Row],[rating]]&gt;=4, "Good ", Computed_insight___Success_of_active_sellers__2[[#This Row],[rating]]&gt;=3.5, "Average", TRUE, "Poor ")</f>
        <v xml:space="preserve">Good </v>
      </c>
      <c r="Q882" s="2" t="str" cm="1">
        <f t="array" ref="Q88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82" s="2" t="str">
        <f>IF(Computed_insight___Success_of_active_sellers__2[[#This Row],[totalurgencycount]]&gt;0, "Has Banner", "No Banner")</f>
        <v>Has Banner</v>
      </c>
    </row>
    <row r="883" spans="1:18" x14ac:dyDescent="0.3">
      <c r="A883">
        <v>881</v>
      </c>
      <c r="B883" t="s">
        <v>502</v>
      </c>
      <c r="C883">
        <v>1</v>
      </c>
      <c r="D883">
        <v>100</v>
      </c>
      <c r="E883">
        <v>100</v>
      </c>
      <c r="F883">
        <v>4.431</v>
      </c>
      <c r="G883">
        <v>105684</v>
      </c>
      <c r="H883">
        <v>7</v>
      </c>
      <c r="I883">
        <v>6</v>
      </c>
      <c r="J883">
        <v>-16</v>
      </c>
      <c r="K883">
        <v>-16</v>
      </c>
      <c r="L883">
        <v>23</v>
      </c>
      <c r="O883" s="2" t="str" cm="1">
        <f t="array" ref="O88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83" s="2" t="str" cm="1">
        <f t="array" ref="P883">_xlfn.IFS(Computed_insight___Success_of_active_sellers__2[[#This Row],[rating]]&gt;=4.5, "Excellent ", Computed_insight___Success_of_active_sellers__2[[#This Row],[rating]]&gt;=4, "Good ", Computed_insight___Success_of_active_sellers__2[[#This Row],[rating]]&gt;=3.5, "Average", TRUE, "Poor ")</f>
        <v xml:space="preserve">Good </v>
      </c>
      <c r="Q883" s="2" t="str" cm="1">
        <f t="array" ref="Q88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83" s="2" t="str">
        <f>IF(Computed_insight___Success_of_active_sellers__2[[#This Row],[totalurgencycount]]&gt;0, "Has Banner", "No Banner")</f>
        <v>No Banner</v>
      </c>
    </row>
    <row r="884" spans="1:18" x14ac:dyDescent="0.3">
      <c r="A884">
        <v>882</v>
      </c>
      <c r="B884" t="s">
        <v>757</v>
      </c>
      <c r="C884">
        <v>1</v>
      </c>
      <c r="D884">
        <v>100</v>
      </c>
      <c r="E884">
        <v>100</v>
      </c>
      <c r="F884">
        <v>4.4379999999999997</v>
      </c>
      <c r="G884">
        <v>54773</v>
      </c>
      <c r="H884">
        <v>2.66</v>
      </c>
      <c r="I884">
        <v>9</v>
      </c>
      <c r="J884">
        <v>71</v>
      </c>
      <c r="K884">
        <v>71</v>
      </c>
      <c r="L884">
        <v>1</v>
      </c>
      <c r="O884" s="2" t="str" cm="1">
        <f t="array" ref="O88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84" s="2" t="str" cm="1">
        <f t="array" ref="P884">_xlfn.IFS(Computed_insight___Success_of_active_sellers__2[[#This Row],[rating]]&gt;=4.5, "Excellent ", Computed_insight___Success_of_active_sellers__2[[#This Row],[rating]]&gt;=4, "Good ", Computed_insight___Success_of_active_sellers__2[[#This Row],[rating]]&gt;=3.5, "Average", TRUE, "Poor ")</f>
        <v xml:space="preserve">Good </v>
      </c>
      <c r="Q884" s="2" t="str" cm="1">
        <f t="array" ref="Q88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84" s="2" t="str">
        <f>IF(Computed_insight___Success_of_active_sellers__2[[#This Row],[totalurgencycount]]&gt;0, "Has Banner", "No Banner")</f>
        <v>No Banner</v>
      </c>
    </row>
    <row r="885" spans="1:18" x14ac:dyDescent="0.3">
      <c r="A885">
        <v>883</v>
      </c>
      <c r="B885" t="s">
        <v>564</v>
      </c>
      <c r="C885">
        <v>1</v>
      </c>
      <c r="D885">
        <v>100</v>
      </c>
      <c r="E885">
        <v>100</v>
      </c>
      <c r="F885">
        <v>4.444</v>
      </c>
      <c r="G885">
        <v>36</v>
      </c>
      <c r="H885">
        <v>5.75</v>
      </c>
      <c r="I885">
        <v>16</v>
      </c>
      <c r="J885">
        <v>65</v>
      </c>
      <c r="K885">
        <v>65</v>
      </c>
      <c r="L885">
        <v>27</v>
      </c>
      <c r="M885">
        <v>1</v>
      </c>
      <c r="N885">
        <v>100</v>
      </c>
      <c r="O885" s="2" t="str" cm="1">
        <f t="array" ref="O88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85" s="2" t="str" cm="1">
        <f t="array" ref="P885">_xlfn.IFS(Computed_insight___Success_of_active_sellers__2[[#This Row],[rating]]&gt;=4.5, "Excellent ", Computed_insight___Success_of_active_sellers__2[[#This Row],[rating]]&gt;=4, "Good ", Computed_insight___Success_of_active_sellers__2[[#This Row],[rating]]&gt;=3.5, "Average", TRUE, "Poor ")</f>
        <v xml:space="preserve">Good </v>
      </c>
      <c r="Q885" s="2" t="str" cm="1">
        <f t="array" ref="Q88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85" s="2" t="str">
        <f>IF(Computed_insight___Success_of_active_sellers__2[[#This Row],[totalurgencycount]]&gt;0, "Has Banner", "No Banner")</f>
        <v>Has Banner</v>
      </c>
    </row>
    <row r="886" spans="1:18" x14ac:dyDescent="0.3">
      <c r="A886">
        <v>884</v>
      </c>
      <c r="B886" t="s">
        <v>621</v>
      </c>
      <c r="C886">
        <v>1</v>
      </c>
      <c r="D886">
        <v>100</v>
      </c>
      <c r="E886">
        <v>100</v>
      </c>
      <c r="F886">
        <v>4.4560000000000004</v>
      </c>
      <c r="G886">
        <v>10622</v>
      </c>
      <c r="H886">
        <v>1.76</v>
      </c>
      <c r="I886">
        <v>2</v>
      </c>
      <c r="J886">
        <v>12</v>
      </c>
      <c r="K886">
        <v>12</v>
      </c>
      <c r="L886">
        <v>35</v>
      </c>
      <c r="O886" s="2" t="str" cm="1">
        <f t="array" ref="O88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86" s="2" t="str" cm="1">
        <f t="array" ref="P886">_xlfn.IFS(Computed_insight___Success_of_active_sellers__2[[#This Row],[rating]]&gt;=4.5, "Excellent ", Computed_insight___Success_of_active_sellers__2[[#This Row],[rating]]&gt;=4, "Good ", Computed_insight___Success_of_active_sellers__2[[#This Row],[rating]]&gt;=3.5, "Average", TRUE, "Poor ")</f>
        <v xml:space="preserve">Good </v>
      </c>
      <c r="Q886" s="2" t="str" cm="1">
        <f t="array" ref="Q886">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886" s="2" t="str">
        <f>IF(Computed_insight___Success_of_active_sellers__2[[#This Row],[totalurgencycount]]&gt;0, "Has Banner", "No Banner")</f>
        <v>No Banner</v>
      </c>
    </row>
    <row r="887" spans="1:18" x14ac:dyDescent="0.3">
      <c r="A887">
        <v>885</v>
      </c>
      <c r="B887" t="s">
        <v>250</v>
      </c>
      <c r="C887">
        <v>1</v>
      </c>
      <c r="D887">
        <v>100</v>
      </c>
      <c r="E887">
        <v>100</v>
      </c>
      <c r="F887">
        <v>4.4630000000000001</v>
      </c>
      <c r="G887">
        <v>3682</v>
      </c>
      <c r="H887">
        <v>13</v>
      </c>
      <c r="I887">
        <v>26</v>
      </c>
      <c r="J887">
        <v>50</v>
      </c>
      <c r="K887">
        <v>50</v>
      </c>
      <c r="L887">
        <v>113</v>
      </c>
      <c r="O887" s="2" t="str" cm="1">
        <f t="array" ref="O88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87" s="2" t="str" cm="1">
        <f t="array" ref="P887">_xlfn.IFS(Computed_insight___Success_of_active_sellers__2[[#This Row],[rating]]&gt;=4.5, "Excellent ", Computed_insight___Success_of_active_sellers__2[[#This Row],[rating]]&gt;=4, "Good ", Computed_insight___Success_of_active_sellers__2[[#This Row],[rating]]&gt;=3.5, "Average", TRUE, "Poor ")</f>
        <v xml:space="preserve">Good </v>
      </c>
      <c r="Q887" s="2" t="str" cm="1">
        <f t="array" ref="Q887">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887" s="2" t="str">
        <f>IF(Computed_insight___Success_of_active_sellers__2[[#This Row],[totalurgencycount]]&gt;0, "Has Banner", "No Banner")</f>
        <v>No Banner</v>
      </c>
    </row>
    <row r="888" spans="1:18" x14ac:dyDescent="0.3">
      <c r="A888">
        <v>886</v>
      </c>
      <c r="B888" t="s">
        <v>930</v>
      </c>
      <c r="C888">
        <v>1</v>
      </c>
      <c r="D888">
        <v>100</v>
      </c>
      <c r="E888">
        <v>100</v>
      </c>
      <c r="F888">
        <v>4.4870000000000001</v>
      </c>
      <c r="G888">
        <v>2805</v>
      </c>
      <c r="H888">
        <v>5</v>
      </c>
      <c r="I888">
        <v>9</v>
      </c>
      <c r="J888">
        <v>45</v>
      </c>
      <c r="K888">
        <v>45</v>
      </c>
      <c r="L888">
        <v>6</v>
      </c>
      <c r="O888" s="2" t="str" cm="1">
        <f t="array" ref="O88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88" s="2" t="str" cm="1">
        <f t="array" ref="P888">_xlfn.IFS(Computed_insight___Success_of_active_sellers__2[[#This Row],[rating]]&gt;=4.5, "Excellent ", Computed_insight___Success_of_active_sellers__2[[#This Row],[rating]]&gt;=4, "Good ", Computed_insight___Success_of_active_sellers__2[[#This Row],[rating]]&gt;=3.5, "Average", TRUE, "Poor ")</f>
        <v xml:space="preserve">Good </v>
      </c>
      <c r="Q888" s="2" t="str" cm="1">
        <f t="array" ref="Q888">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888" s="2" t="str">
        <f>IF(Computed_insight___Success_of_active_sellers__2[[#This Row],[totalurgencycount]]&gt;0, "Has Banner", "No Banner")</f>
        <v>No Banner</v>
      </c>
    </row>
    <row r="889" spans="1:18" x14ac:dyDescent="0.3">
      <c r="A889">
        <v>887</v>
      </c>
      <c r="B889" t="s">
        <v>663</v>
      </c>
      <c r="C889">
        <v>1</v>
      </c>
      <c r="D889">
        <v>100</v>
      </c>
      <c r="E889">
        <v>100</v>
      </c>
      <c r="F889">
        <v>4.5220000000000002</v>
      </c>
      <c r="G889">
        <v>343</v>
      </c>
      <c r="H889">
        <v>3.73</v>
      </c>
      <c r="I889">
        <v>17</v>
      </c>
      <c r="J889">
        <v>79</v>
      </c>
      <c r="K889">
        <v>79</v>
      </c>
      <c r="L889">
        <v>27</v>
      </c>
      <c r="O889" s="2" t="str" cm="1">
        <f t="array" ref="O88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89" s="2" t="str" cm="1">
        <f t="array" ref="P889">_xlfn.IFS(Computed_insight___Success_of_active_sellers__2[[#This Row],[rating]]&gt;=4.5, "Excellent ", Computed_insight___Success_of_active_sellers__2[[#This Row],[rating]]&gt;=4, "Good ", Computed_insight___Success_of_active_sellers__2[[#This Row],[rating]]&gt;=3.5, "Average", TRUE, "Poor ")</f>
        <v xml:space="preserve">Excellent </v>
      </c>
      <c r="Q889" s="2" t="str" cm="1">
        <f t="array" ref="Q88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89" s="2" t="str">
        <f>IF(Computed_insight___Success_of_active_sellers__2[[#This Row],[totalurgencycount]]&gt;0, "Has Banner", "No Banner")</f>
        <v>No Banner</v>
      </c>
    </row>
    <row r="890" spans="1:18" x14ac:dyDescent="0.3">
      <c r="A890">
        <v>888</v>
      </c>
      <c r="B890" t="s">
        <v>671</v>
      </c>
      <c r="C890">
        <v>1</v>
      </c>
      <c r="D890">
        <v>100</v>
      </c>
      <c r="E890">
        <v>100</v>
      </c>
      <c r="F890">
        <v>4.5780000000000003</v>
      </c>
      <c r="G890">
        <v>1032</v>
      </c>
      <c r="H890">
        <v>8</v>
      </c>
      <c r="I890">
        <v>47</v>
      </c>
      <c r="J890">
        <v>83</v>
      </c>
      <c r="K890">
        <v>83</v>
      </c>
      <c r="L890">
        <v>110</v>
      </c>
      <c r="O890" s="2" t="str" cm="1">
        <f t="array" ref="O89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90" s="2" t="str" cm="1">
        <f t="array" ref="P890">_xlfn.IFS(Computed_insight___Success_of_active_sellers__2[[#This Row],[rating]]&gt;=4.5, "Excellent ", Computed_insight___Success_of_active_sellers__2[[#This Row],[rating]]&gt;=4, "Good ", Computed_insight___Success_of_active_sellers__2[[#This Row],[rating]]&gt;=3.5, "Average", TRUE, "Poor ")</f>
        <v xml:space="preserve">Excellent </v>
      </c>
      <c r="Q890" s="2" t="str" cm="1">
        <f t="array" ref="Q89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90" s="2" t="str">
        <f>IF(Computed_insight___Success_of_active_sellers__2[[#This Row],[totalurgencycount]]&gt;0, "Has Banner", "No Banner")</f>
        <v>No Banner</v>
      </c>
    </row>
    <row r="891" spans="1:18" x14ac:dyDescent="0.3">
      <c r="A891">
        <v>889</v>
      </c>
      <c r="B891" t="s">
        <v>373</v>
      </c>
      <c r="C891">
        <v>1</v>
      </c>
      <c r="D891">
        <v>100</v>
      </c>
      <c r="E891">
        <v>100</v>
      </c>
      <c r="F891">
        <v>5</v>
      </c>
      <c r="G891">
        <v>0</v>
      </c>
      <c r="H891">
        <v>7</v>
      </c>
      <c r="I891">
        <v>6</v>
      </c>
      <c r="J891">
        <v>-16</v>
      </c>
      <c r="K891">
        <v>-16</v>
      </c>
      <c r="L891">
        <v>0</v>
      </c>
      <c r="O891" s="2" t="str" cm="1">
        <f t="array" ref="O89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91" s="2" t="str" cm="1">
        <f t="array" ref="P891">_xlfn.IFS(Computed_insight___Success_of_active_sellers__2[[#This Row],[rating]]&gt;=4.5, "Excellent ", Computed_insight___Success_of_active_sellers__2[[#This Row],[rating]]&gt;=4, "Good ", Computed_insight___Success_of_active_sellers__2[[#This Row],[rating]]&gt;=3.5, "Average", TRUE, "Poor ")</f>
        <v xml:space="preserve">Excellent </v>
      </c>
      <c r="Q891" s="2" t="str" cm="1">
        <f t="array" ref="Q89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91" s="2" t="str">
        <f>IF(Computed_insight___Success_of_active_sellers__2[[#This Row],[totalurgencycount]]&gt;0, "Has Banner", "No Banner")</f>
        <v>No Banner</v>
      </c>
    </row>
    <row r="892" spans="1:18" x14ac:dyDescent="0.3">
      <c r="A892">
        <v>890</v>
      </c>
      <c r="B892" t="s">
        <v>324</v>
      </c>
      <c r="C892">
        <v>2</v>
      </c>
      <c r="D892">
        <v>100</v>
      </c>
      <c r="E892">
        <v>50</v>
      </c>
      <c r="F892">
        <v>3.516</v>
      </c>
      <c r="G892">
        <v>254</v>
      </c>
      <c r="H892">
        <v>4</v>
      </c>
      <c r="I892">
        <v>4</v>
      </c>
      <c r="J892">
        <v>0</v>
      </c>
      <c r="K892">
        <v>0</v>
      </c>
      <c r="L892">
        <v>1</v>
      </c>
      <c r="M892">
        <v>1</v>
      </c>
      <c r="N892">
        <v>50</v>
      </c>
      <c r="O892" s="2" t="str" cm="1">
        <f t="array" ref="O89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92" s="2" t="str" cm="1">
        <f t="array" ref="P892">_xlfn.IFS(Computed_insight___Success_of_active_sellers__2[[#This Row],[rating]]&gt;=4.5, "Excellent ", Computed_insight___Success_of_active_sellers__2[[#This Row],[rating]]&gt;=4, "Good ", Computed_insight___Success_of_active_sellers__2[[#This Row],[rating]]&gt;=3.5, "Average", TRUE, "Poor ")</f>
        <v>Average</v>
      </c>
      <c r="Q892" s="2" t="str" cm="1">
        <f t="array" ref="Q89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92" s="2" t="str">
        <f>IF(Computed_insight___Success_of_active_sellers__2[[#This Row],[totalurgencycount]]&gt;0, "Has Banner", "No Banner")</f>
        <v>Has Banner</v>
      </c>
    </row>
    <row r="893" spans="1:18" x14ac:dyDescent="0.3">
      <c r="A893">
        <v>891</v>
      </c>
      <c r="B893" t="s">
        <v>121</v>
      </c>
      <c r="C893">
        <v>2</v>
      </c>
      <c r="D893">
        <v>100</v>
      </c>
      <c r="E893">
        <v>50</v>
      </c>
      <c r="F893">
        <v>3.75</v>
      </c>
      <c r="G893">
        <v>4</v>
      </c>
      <c r="H893">
        <v>5</v>
      </c>
      <c r="I893">
        <v>5</v>
      </c>
      <c r="J893">
        <v>0</v>
      </c>
      <c r="K893">
        <v>0</v>
      </c>
      <c r="L893">
        <v>1</v>
      </c>
      <c r="M893">
        <v>1</v>
      </c>
      <c r="N893">
        <v>50</v>
      </c>
      <c r="O893" s="2" t="str" cm="1">
        <f t="array" ref="O89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93" s="2" t="str" cm="1">
        <f t="array" ref="P893">_xlfn.IFS(Computed_insight___Success_of_active_sellers__2[[#This Row],[rating]]&gt;=4.5, "Excellent ", Computed_insight___Success_of_active_sellers__2[[#This Row],[rating]]&gt;=4, "Good ", Computed_insight___Success_of_active_sellers__2[[#This Row],[rating]]&gt;=3.5, "Average", TRUE, "Poor ")</f>
        <v>Average</v>
      </c>
      <c r="Q893" s="2" t="str" cm="1">
        <f t="array" ref="Q89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93" s="2" t="str">
        <f>IF(Computed_insight___Success_of_active_sellers__2[[#This Row],[totalurgencycount]]&gt;0, "Has Banner", "No Banner")</f>
        <v>Has Banner</v>
      </c>
    </row>
    <row r="894" spans="1:18" x14ac:dyDescent="0.3">
      <c r="A894">
        <v>892</v>
      </c>
      <c r="B894" t="s">
        <v>588</v>
      </c>
      <c r="C894">
        <v>2</v>
      </c>
      <c r="D894">
        <v>100</v>
      </c>
      <c r="E894">
        <v>50</v>
      </c>
      <c r="F894">
        <v>3.7919999999999998</v>
      </c>
      <c r="G894">
        <v>519</v>
      </c>
      <c r="H894">
        <v>8</v>
      </c>
      <c r="I894">
        <v>7</v>
      </c>
      <c r="J894">
        <v>-14</v>
      </c>
      <c r="K894">
        <v>-14</v>
      </c>
      <c r="L894">
        <v>6</v>
      </c>
      <c r="M894">
        <v>1</v>
      </c>
      <c r="N894">
        <v>50</v>
      </c>
      <c r="O894" s="2" t="str" cm="1">
        <f t="array" ref="O89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94" s="2" t="str" cm="1">
        <f t="array" ref="P894">_xlfn.IFS(Computed_insight___Success_of_active_sellers__2[[#This Row],[rating]]&gt;=4.5, "Excellent ", Computed_insight___Success_of_active_sellers__2[[#This Row],[rating]]&gt;=4, "Good ", Computed_insight___Success_of_active_sellers__2[[#This Row],[rating]]&gt;=3.5, "Average", TRUE, "Poor ")</f>
        <v>Average</v>
      </c>
      <c r="Q894" s="2" t="str" cm="1">
        <f t="array" ref="Q89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94" s="2" t="str">
        <f>IF(Computed_insight___Success_of_active_sellers__2[[#This Row],[totalurgencycount]]&gt;0, "Has Banner", "No Banner")</f>
        <v>Has Banner</v>
      </c>
    </row>
    <row r="895" spans="1:18" x14ac:dyDescent="0.3">
      <c r="A895">
        <v>893</v>
      </c>
      <c r="B895" t="s">
        <v>501</v>
      </c>
      <c r="C895">
        <v>2</v>
      </c>
      <c r="D895">
        <v>100</v>
      </c>
      <c r="E895">
        <v>50</v>
      </c>
      <c r="F895">
        <v>3.88</v>
      </c>
      <c r="G895">
        <v>3730</v>
      </c>
      <c r="H895">
        <v>3.76</v>
      </c>
      <c r="I895">
        <v>7</v>
      </c>
      <c r="J895">
        <v>47</v>
      </c>
      <c r="K895">
        <v>47</v>
      </c>
      <c r="L895">
        <v>8</v>
      </c>
      <c r="O895" s="2" t="str" cm="1">
        <f t="array" ref="O89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95" s="2" t="str" cm="1">
        <f t="array" ref="P895">_xlfn.IFS(Computed_insight___Success_of_active_sellers__2[[#This Row],[rating]]&gt;=4.5, "Excellent ", Computed_insight___Success_of_active_sellers__2[[#This Row],[rating]]&gt;=4, "Good ", Computed_insight___Success_of_active_sellers__2[[#This Row],[rating]]&gt;=3.5, "Average", TRUE, "Poor ")</f>
        <v>Average</v>
      </c>
      <c r="Q895" s="2" t="str" cm="1">
        <f t="array" ref="Q895">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895" s="2" t="str">
        <f>IF(Computed_insight___Success_of_active_sellers__2[[#This Row],[totalurgencycount]]&gt;0, "Has Banner", "No Banner")</f>
        <v>No Banner</v>
      </c>
    </row>
    <row r="896" spans="1:18" x14ac:dyDescent="0.3">
      <c r="A896">
        <v>894</v>
      </c>
      <c r="B896" t="s">
        <v>337</v>
      </c>
      <c r="C896">
        <v>2</v>
      </c>
      <c r="D896">
        <v>100</v>
      </c>
      <c r="E896">
        <v>50</v>
      </c>
      <c r="F896">
        <v>3.923</v>
      </c>
      <c r="G896">
        <v>26</v>
      </c>
      <c r="H896">
        <v>20</v>
      </c>
      <c r="I896">
        <v>17</v>
      </c>
      <c r="J896">
        <v>-17</v>
      </c>
      <c r="K896">
        <v>-17</v>
      </c>
      <c r="L896">
        <v>12</v>
      </c>
      <c r="M896">
        <v>1</v>
      </c>
      <c r="N896">
        <v>50</v>
      </c>
      <c r="O896" s="2" t="str" cm="1">
        <f t="array" ref="O89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96" s="2" t="str" cm="1">
        <f t="array" ref="P896">_xlfn.IFS(Computed_insight___Success_of_active_sellers__2[[#This Row],[rating]]&gt;=4.5, "Excellent ", Computed_insight___Success_of_active_sellers__2[[#This Row],[rating]]&gt;=4, "Good ", Computed_insight___Success_of_active_sellers__2[[#This Row],[rating]]&gt;=3.5, "Average", TRUE, "Poor ")</f>
        <v>Average</v>
      </c>
      <c r="Q896" s="2" t="str" cm="1">
        <f t="array" ref="Q89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896" s="2" t="str">
        <f>IF(Computed_insight___Success_of_active_sellers__2[[#This Row],[totalurgencycount]]&gt;0, "Has Banner", "No Banner")</f>
        <v>Has Banner</v>
      </c>
    </row>
    <row r="897" spans="1:18" x14ac:dyDescent="0.3">
      <c r="A897">
        <v>895</v>
      </c>
      <c r="B897" t="s">
        <v>113</v>
      </c>
      <c r="C897">
        <v>2</v>
      </c>
      <c r="D897">
        <v>100</v>
      </c>
      <c r="E897">
        <v>50</v>
      </c>
      <c r="F897">
        <v>4.1749999999999998</v>
      </c>
      <c r="G897">
        <v>57</v>
      </c>
      <c r="H897">
        <v>12</v>
      </c>
      <c r="I897">
        <v>85</v>
      </c>
      <c r="J897">
        <v>86</v>
      </c>
      <c r="K897">
        <v>86</v>
      </c>
      <c r="L897">
        <v>4</v>
      </c>
      <c r="M897">
        <v>1</v>
      </c>
      <c r="N897">
        <v>50</v>
      </c>
      <c r="O897" s="2" t="str" cm="1">
        <f t="array" ref="O89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97" s="2" t="str" cm="1">
        <f t="array" ref="P897">_xlfn.IFS(Computed_insight___Success_of_active_sellers__2[[#This Row],[rating]]&gt;=4.5, "Excellent ", Computed_insight___Success_of_active_sellers__2[[#This Row],[rating]]&gt;=4, "Good ", Computed_insight___Success_of_active_sellers__2[[#This Row],[rating]]&gt;=3.5, "Average", TRUE, "Poor ")</f>
        <v xml:space="preserve">Good </v>
      </c>
      <c r="Q897" s="2" t="str" cm="1">
        <f t="array" ref="Q89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97" s="2" t="str">
        <f>IF(Computed_insight___Success_of_active_sellers__2[[#This Row],[totalurgencycount]]&gt;0, "Has Banner", "No Banner")</f>
        <v>Has Banner</v>
      </c>
    </row>
    <row r="898" spans="1:18" x14ac:dyDescent="0.3">
      <c r="A898">
        <v>896</v>
      </c>
      <c r="B898" t="s">
        <v>508</v>
      </c>
      <c r="C898">
        <v>2</v>
      </c>
      <c r="D898">
        <v>100</v>
      </c>
      <c r="E898">
        <v>50</v>
      </c>
      <c r="F898">
        <v>4.4580000000000002</v>
      </c>
      <c r="G898">
        <v>537</v>
      </c>
      <c r="H898">
        <v>9</v>
      </c>
      <c r="I898">
        <v>34</v>
      </c>
      <c r="J898">
        <v>74</v>
      </c>
      <c r="K898">
        <v>74</v>
      </c>
      <c r="L898">
        <v>5</v>
      </c>
      <c r="M898">
        <v>1</v>
      </c>
      <c r="N898">
        <v>50</v>
      </c>
      <c r="O898" s="2" t="str" cm="1">
        <f t="array" ref="O89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Silver </v>
      </c>
      <c r="P898" s="2" t="str" cm="1">
        <f t="array" ref="P898">_xlfn.IFS(Computed_insight___Success_of_active_sellers__2[[#This Row],[rating]]&gt;=4.5, "Excellent ", Computed_insight___Success_of_active_sellers__2[[#This Row],[rating]]&gt;=4, "Good ", Computed_insight___Success_of_active_sellers__2[[#This Row],[rating]]&gt;=3.5, "Average", TRUE, "Poor ")</f>
        <v xml:space="preserve">Good </v>
      </c>
      <c r="Q898" s="2" t="str" cm="1">
        <f t="array" ref="Q89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898" s="2" t="str">
        <f>IF(Computed_insight___Success_of_active_sellers__2[[#This Row],[totalurgencycount]]&gt;0, "Has Banner", "No Banner")</f>
        <v>Has Banner</v>
      </c>
    </row>
    <row r="899" spans="1:18" x14ac:dyDescent="0.3">
      <c r="A899">
        <v>897</v>
      </c>
      <c r="B899" t="s">
        <v>365</v>
      </c>
      <c r="C899">
        <v>2</v>
      </c>
      <c r="D899">
        <v>60</v>
      </c>
      <c r="E899">
        <v>30</v>
      </c>
      <c r="F899">
        <v>3.8849999999999998</v>
      </c>
      <c r="G899">
        <v>52</v>
      </c>
      <c r="H899">
        <v>12</v>
      </c>
      <c r="I899">
        <v>14</v>
      </c>
      <c r="J899">
        <v>15</v>
      </c>
      <c r="K899">
        <v>15</v>
      </c>
      <c r="L899">
        <v>4</v>
      </c>
      <c r="O899" s="2" t="str" cm="1">
        <f t="array" ref="O89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899" s="2" t="str" cm="1">
        <f t="array" ref="P899">_xlfn.IFS(Computed_insight___Success_of_active_sellers__2[[#This Row],[rating]]&gt;=4.5, "Excellent ", Computed_insight___Success_of_active_sellers__2[[#This Row],[rating]]&gt;=4, "Good ", Computed_insight___Success_of_active_sellers__2[[#This Row],[rating]]&gt;=3.5, "Average", TRUE, "Poor ")</f>
        <v>Average</v>
      </c>
      <c r="Q899" s="2" t="str" cm="1">
        <f t="array" ref="Q899">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899" s="2" t="str">
        <f>IF(Computed_insight___Success_of_active_sellers__2[[#This Row],[totalurgencycount]]&gt;0, "Has Banner", "No Banner")</f>
        <v>No Banner</v>
      </c>
    </row>
    <row r="900" spans="1:18" x14ac:dyDescent="0.3">
      <c r="A900">
        <v>898</v>
      </c>
      <c r="B900" t="s">
        <v>596</v>
      </c>
      <c r="C900">
        <v>1</v>
      </c>
      <c r="D900">
        <v>50</v>
      </c>
      <c r="E900">
        <v>50</v>
      </c>
      <c r="F900">
        <v>3.464</v>
      </c>
      <c r="G900">
        <v>28</v>
      </c>
      <c r="H900">
        <v>12</v>
      </c>
      <c r="I900">
        <v>11</v>
      </c>
      <c r="J900">
        <v>-9</v>
      </c>
      <c r="K900">
        <v>-9</v>
      </c>
      <c r="L900">
        <v>7</v>
      </c>
      <c r="O900" s="2" t="str" cm="1">
        <f t="array" ref="O90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00" s="2" t="str" cm="1">
        <f t="array" ref="P900">_xlfn.IFS(Computed_insight___Success_of_active_sellers__2[[#This Row],[rating]]&gt;=4.5, "Excellent ", Computed_insight___Success_of_active_sellers__2[[#This Row],[rating]]&gt;=4, "Good ", Computed_insight___Success_of_active_sellers__2[[#This Row],[rating]]&gt;=3.5, "Average", TRUE, "Poor ")</f>
        <v xml:space="preserve">Poor </v>
      </c>
      <c r="Q900" s="2" t="str" cm="1">
        <f t="array" ref="Q90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00" s="2" t="str">
        <f>IF(Computed_insight___Success_of_active_sellers__2[[#This Row],[totalurgencycount]]&gt;0, "Has Banner", "No Banner")</f>
        <v>No Banner</v>
      </c>
    </row>
    <row r="901" spans="1:18" x14ac:dyDescent="0.3">
      <c r="A901">
        <v>899</v>
      </c>
      <c r="B901" t="s">
        <v>60</v>
      </c>
      <c r="C901">
        <v>1</v>
      </c>
      <c r="D901">
        <v>50</v>
      </c>
      <c r="E901">
        <v>50</v>
      </c>
      <c r="F901">
        <v>3.6669999999999998</v>
      </c>
      <c r="G901">
        <v>9</v>
      </c>
      <c r="H901">
        <v>5</v>
      </c>
      <c r="I901">
        <v>38</v>
      </c>
      <c r="J901">
        <v>87</v>
      </c>
      <c r="K901">
        <v>87</v>
      </c>
      <c r="L901">
        <v>2</v>
      </c>
      <c r="O901" s="2" t="str" cm="1">
        <f t="array" ref="O90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01" s="2" t="str" cm="1">
        <f t="array" ref="P901">_xlfn.IFS(Computed_insight___Success_of_active_sellers__2[[#This Row],[rating]]&gt;=4.5, "Excellent ", Computed_insight___Success_of_active_sellers__2[[#This Row],[rating]]&gt;=4, "Good ", Computed_insight___Success_of_active_sellers__2[[#This Row],[rating]]&gt;=3.5, "Average", TRUE, "Poor ")</f>
        <v>Average</v>
      </c>
      <c r="Q901" s="2" t="str" cm="1">
        <f t="array" ref="Q90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01" s="2" t="str">
        <f>IF(Computed_insight___Success_of_active_sellers__2[[#This Row],[totalurgencycount]]&gt;0, "Has Banner", "No Banner")</f>
        <v>No Banner</v>
      </c>
    </row>
    <row r="902" spans="1:18" x14ac:dyDescent="0.3">
      <c r="A902">
        <v>900</v>
      </c>
      <c r="B902" t="s">
        <v>844</v>
      </c>
      <c r="C902">
        <v>1</v>
      </c>
      <c r="D902">
        <v>50</v>
      </c>
      <c r="E902">
        <v>50</v>
      </c>
      <c r="F902">
        <v>3.6760000000000002</v>
      </c>
      <c r="G902">
        <v>34</v>
      </c>
      <c r="H902">
        <v>15</v>
      </c>
      <c r="I902">
        <v>13</v>
      </c>
      <c r="J902">
        <v>-15</v>
      </c>
      <c r="K902">
        <v>-15</v>
      </c>
      <c r="L902">
        <v>10</v>
      </c>
      <c r="O902" s="2" t="str" cm="1">
        <f t="array" ref="O90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02" s="2" t="str" cm="1">
        <f t="array" ref="P902">_xlfn.IFS(Computed_insight___Success_of_active_sellers__2[[#This Row],[rating]]&gt;=4.5, "Excellent ", Computed_insight___Success_of_active_sellers__2[[#This Row],[rating]]&gt;=4, "Good ", Computed_insight___Success_of_active_sellers__2[[#This Row],[rating]]&gt;=3.5, "Average", TRUE, "Poor ")</f>
        <v>Average</v>
      </c>
      <c r="Q902" s="2" t="str" cm="1">
        <f t="array" ref="Q90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02" s="2" t="str">
        <f>IF(Computed_insight___Success_of_active_sellers__2[[#This Row],[totalurgencycount]]&gt;0, "Has Banner", "No Banner")</f>
        <v>No Banner</v>
      </c>
    </row>
    <row r="903" spans="1:18" x14ac:dyDescent="0.3">
      <c r="A903">
        <v>901</v>
      </c>
      <c r="B903" t="s">
        <v>879</v>
      </c>
      <c r="C903">
        <v>1</v>
      </c>
      <c r="D903">
        <v>50</v>
      </c>
      <c r="E903">
        <v>50</v>
      </c>
      <c r="F903">
        <v>3.714</v>
      </c>
      <c r="G903">
        <v>21</v>
      </c>
      <c r="H903">
        <v>11</v>
      </c>
      <c r="I903">
        <v>85</v>
      </c>
      <c r="J903">
        <v>88</v>
      </c>
      <c r="K903">
        <v>88</v>
      </c>
      <c r="L903">
        <v>7</v>
      </c>
      <c r="M903">
        <v>1</v>
      </c>
      <c r="N903">
        <v>100</v>
      </c>
      <c r="O903" s="2" t="str" cm="1">
        <f t="array" ref="O90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03" s="2" t="str" cm="1">
        <f t="array" ref="P903">_xlfn.IFS(Computed_insight___Success_of_active_sellers__2[[#This Row],[rating]]&gt;=4.5, "Excellent ", Computed_insight___Success_of_active_sellers__2[[#This Row],[rating]]&gt;=4, "Good ", Computed_insight___Success_of_active_sellers__2[[#This Row],[rating]]&gt;=3.5, "Average", TRUE, "Poor ")</f>
        <v>Average</v>
      </c>
      <c r="Q903" s="2" t="str" cm="1">
        <f t="array" ref="Q90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03" s="2" t="str">
        <f>IF(Computed_insight___Success_of_active_sellers__2[[#This Row],[totalurgencycount]]&gt;0, "Has Banner", "No Banner")</f>
        <v>Has Banner</v>
      </c>
    </row>
    <row r="904" spans="1:18" x14ac:dyDescent="0.3">
      <c r="A904">
        <v>902</v>
      </c>
      <c r="B904" t="s">
        <v>371</v>
      </c>
      <c r="C904">
        <v>1</v>
      </c>
      <c r="D904">
        <v>50</v>
      </c>
      <c r="E904">
        <v>50</v>
      </c>
      <c r="F904">
        <v>3.722</v>
      </c>
      <c r="G904">
        <v>144</v>
      </c>
      <c r="H904">
        <v>6</v>
      </c>
      <c r="I904">
        <v>6</v>
      </c>
      <c r="J904">
        <v>0</v>
      </c>
      <c r="K904">
        <v>0</v>
      </c>
      <c r="L904">
        <v>15</v>
      </c>
      <c r="O904" s="2" t="str" cm="1">
        <f t="array" ref="O90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04" s="2" t="str" cm="1">
        <f t="array" ref="P904">_xlfn.IFS(Computed_insight___Success_of_active_sellers__2[[#This Row],[rating]]&gt;=4.5, "Excellent ", Computed_insight___Success_of_active_sellers__2[[#This Row],[rating]]&gt;=4, "Good ", Computed_insight___Success_of_active_sellers__2[[#This Row],[rating]]&gt;=3.5, "Average", TRUE, "Poor ")</f>
        <v>Average</v>
      </c>
      <c r="Q904" s="2" t="str" cm="1">
        <f t="array" ref="Q90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04" s="2" t="str">
        <f>IF(Computed_insight___Success_of_active_sellers__2[[#This Row],[totalurgencycount]]&gt;0, "Has Banner", "No Banner")</f>
        <v>No Banner</v>
      </c>
    </row>
    <row r="905" spans="1:18" x14ac:dyDescent="0.3">
      <c r="A905">
        <v>903</v>
      </c>
      <c r="B905" t="s">
        <v>779</v>
      </c>
      <c r="C905">
        <v>1</v>
      </c>
      <c r="D905">
        <v>50</v>
      </c>
      <c r="E905">
        <v>50</v>
      </c>
      <c r="F905">
        <v>3.774</v>
      </c>
      <c r="G905">
        <v>62</v>
      </c>
      <c r="H905">
        <v>9</v>
      </c>
      <c r="I905">
        <v>8</v>
      </c>
      <c r="J905">
        <v>-12</v>
      </c>
      <c r="K905">
        <v>-12</v>
      </c>
      <c r="L905">
        <v>2</v>
      </c>
      <c r="O905" s="2" t="str" cm="1">
        <f t="array" ref="O90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05" s="2" t="str" cm="1">
        <f t="array" ref="P905">_xlfn.IFS(Computed_insight___Success_of_active_sellers__2[[#This Row],[rating]]&gt;=4.5, "Excellent ", Computed_insight___Success_of_active_sellers__2[[#This Row],[rating]]&gt;=4, "Good ", Computed_insight___Success_of_active_sellers__2[[#This Row],[rating]]&gt;=3.5, "Average", TRUE, "Poor ")</f>
        <v>Average</v>
      </c>
      <c r="Q905" s="2" t="str" cm="1">
        <f t="array" ref="Q90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05" s="2" t="str">
        <f>IF(Computed_insight___Success_of_active_sellers__2[[#This Row],[totalurgencycount]]&gt;0, "Has Banner", "No Banner")</f>
        <v>No Banner</v>
      </c>
    </row>
    <row r="906" spans="1:18" x14ac:dyDescent="0.3">
      <c r="A906">
        <v>904</v>
      </c>
      <c r="B906" t="s">
        <v>854</v>
      </c>
      <c r="C906">
        <v>1</v>
      </c>
      <c r="D906">
        <v>50</v>
      </c>
      <c r="E906">
        <v>50</v>
      </c>
      <c r="F906">
        <v>3.84</v>
      </c>
      <c r="G906">
        <v>2647</v>
      </c>
      <c r="H906">
        <v>12</v>
      </c>
      <c r="I906">
        <v>11</v>
      </c>
      <c r="J906">
        <v>-9</v>
      </c>
      <c r="K906">
        <v>-9</v>
      </c>
      <c r="L906">
        <v>17</v>
      </c>
      <c r="O906" s="2" t="str" cm="1">
        <f t="array" ref="O90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06" s="2" t="str" cm="1">
        <f t="array" ref="P906">_xlfn.IFS(Computed_insight___Success_of_active_sellers__2[[#This Row],[rating]]&gt;=4.5, "Excellent ", Computed_insight___Success_of_active_sellers__2[[#This Row],[rating]]&gt;=4, "Good ", Computed_insight___Success_of_active_sellers__2[[#This Row],[rating]]&gt;=3.5, "Average", TRUE, "Poor ")</f>
        <v>Average</v>
      </c>
      <c r="Q906" s="2" t="str" cm="1">
        <f t="array" ref="Q90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06" s="2" t="str">
        <f>IF(Computed_insight___Success_of_active_sellers__2[[#This Row],[totalurgencycount]]&gt;0, "Has Banner", "No Banner")</f>
        <v>No Banner</v>
      </c>
    </row>
    <row r="907" spans="1:18" x14ac:dyDescent="0.3">
      <c r="A907">
        <v>905</v>
      </c>
      <c r="B907" t="s">
        <v>424</v>
      </c>
      <c r="C907">
        <v>1</v>
      </c>
      <c r="D907">
        <v>50</v>
      </c>
      <c r="E907">
        <v>50</v>
      </c>
      <c r="F907">
        <v>3.8610000000000002</v>
      </c>
      <c r="G907">
        <v>4098</v>
      </c>
      <c r="H907">
        <v>3.86</v>
      </c>
      <c r="I907">
        <v>6</v>
      </c>
      <c r="J907">
        <v>36</v>
      </c>
      <c r="K907">
        <v>36</v>
      </c>
      <c r="L907">
        <v>6</v>
      </c>
      <c r="O907" s="2" t="str" cm="1">
        <f t="array" ref="O90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07" s="2" t="str" cm="1">
        <f t="array" ref="P907">_xlfn.IFS(Computed_insight___Success_of_active_sellers__2[[#This Row],[rating]]&gt;=4.5, "Excellent ", Computed_insight___Success_of_active_sellers__2[[#This Row],[rating]]&gt;=4, "Good ", Computed_insight___Success_of_active_sellers__2[[#This Row],[rating]]&gt;=3.5, "Average", TRUE, "Poor ")</f>
        <v>Average</v>
      </c>
      <c r="Q907" s="2" t="str" cm="1">
        <f t="array" ref="Q907">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907" s="2" t="str">
        <f>IF(Computed_insight___Success_of_active_sellers__2[[#This Row],[totalurgencycount]]&gt;0, "Has Banner", "No Banner")</f>
        <v>No Banner</v>
      </c>
    </row>
    <row r="908" spans="1:18" x14ac:dyDescent="0.3">
      <c r="A908">
        <v>906</v>
      </c>
      <c r="B908" t="s">
        <v>762</v>
      </c>
      <c r="C908">
        <v>1</v>
      </c>
      <c r="D908">
        <v>50</v>
      </c>
      <c r="E908">
        <v>50</v>
      </c>
      <c r="F908">
        <v>3.8719999999999999</v>
      </c>
      <c r="G908">
        <v>47</v>
      </c>
      <c r="H908">
        <v>8</v>
      </c>
      <c r="I908">
        <v>56</v>
      </c>
      <c r="J908">
        <v>86</v>
      </c>
      <c r="K908">
        <v>86</v>
      </c>
      <c r="L908">
        <v>6</v>
      </c>
      <c r="M908">
        <v>1</v>
      </c>
      <c r="N908">
        <v>100</v>
      </c>
      <c r="O908" s="2" t="str" cm="1">
        <f t="array" ref="O90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08" s="2" t="str" cm="1">
        <f t="array" ref="P908">_xlfn.IFS(Computed_insight___Success_of_active_sellers__2[[#This Row],[rating]]&gt;=4.5, "Excellent ", Computed_insight___Success_of_active_sellers__2[[#This Row],[rating]]&gt;=4, "Good ", Computed_insight___Success_of_active_sellers__2[[#This Row],[rating]]&gt;=3.5, "Average", TRUE, "Poor ")</f>
        <v>Average</v>
      </c>
      <c r="Q908" s="2" t="str" cm="1">
        <f t="array" ref="Q90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08" s="2" t="str">
        <f>IF(Computed_insight___Success_of_active_sellers__2[[#This Row],[totalurgencycount]]&gt;0, "Has Banner", "No Banner")</f>
        <v>Has Banner</v>
      </c>
    </row>
    <row r="909" spans="1:18" x14ac:dyDescent="0.3">
      <c r="A909">
        <v>907</v>
      </c>
      <c r="B909" t="s">
        <v>949</v>
      </c>
      <c r="C909">
        <v>1</v>
      </c>
      <c r="D909">
        <v>50</v>
      </c>
      <c r="E909">
        <v>50</v>
      </c>
      <c r="F909">
        <v>3.9369999999999998</v>
      </c>
      <c r="G909">
        <v>399</v>
      </c>
      <c r="H909">
        <v>27</v>
      </c>
      <c r="I909">
        <v>23</v>
      </c>
      <c r="J909">
        <v>-17</v>
      </c>
      <c r="K909">
        <v>-17</v>
      </c>
      <c r="L909">
        <v>12</v>
      </c>
      <c r="O909" s="2" t="str" cm="1">
        <f t="array" ref="O90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09" s="2" t="str" cm="1">
        <f t="array" ref="P909">_xlfn.IFS(Computed_insight___Success_of_active_sellers__2[[#This Row],[rating]]&gt;=4.5, "Excellent ", Computed_insight___Success_of_active_sellers__2[[#This Row],[rating]]&gt;=4, "Good ", Computed_insight___Success_of_active_sellers__2[[#This Row],[rating]]&gt;=3.5, "Average", TRUE, "Poor ")</f>
        <v>Average</v>
      </c>
      <c r="Q909" s="2" t="str" cm="1">
        <f t="array" ref="Q90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09" s="2" t="str">
        <f>IF(Computed_insight___Success_of_active_sellers__2[[#This Row],[totalurgencycount]]&gt;0, "Has Banner", "No Banner")</f>
        <v>No Banner</v>
      </c>
    </row>
    <row r="910" spans="1:18" x14ac:dyDescent="0.3">
      <c r="A910">
        <v>908</v>
      </c>
      <c r="B910" t="s">
        <v>882</v>
      </c>
      <c r="C910">
        <v>1</v>
      </c>
      <c r="D910">
        <v>50</v>
      </c>
      <c r="E910">
        <v>50</v>
      </c>
      <c r="F910">
        <v>3.98</v>
      </c>
      <c r="G910">
        <v>249</v>
      </c>
      <c r="H910">
        <v>8</v>
      </c>
      <c r="I910">
        <v>7</v>
      </c>
      <c r="J910">
        <v>-14</v>
      </c>
      <c r="K910">
        <v>-14</v>
      </c>
      <c r="L910">
        <v>7</v>
      </c>
      <c r="O910" s="2" t="str" cm="1">
        <f t="array" ref="O91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10" s="2" t="str" cm="1">
        <f t="array" ref="P910">_xlfn.IFS(Computed_insight___Success_of_active_sellers__2[[#This Row],[rating]]&gt;=4.5, "Excellent ", Computed_insight___Success_of_active_sellers__2[[#This Row],[rating]]&gt;=4, "Good ", Computed_insight___Success_of_active_sellers__2[[#This Row],[rating]]&gt;=3.5, "Average", TRUE, "Poor ")</f>
        <v>Average</v>
      </c>
      <c r="Q910" s="2" t="str" cm="1">
        <f t="array" ref="Q91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10" s="2" t="str">
        <f>IF(Computed_insight___Success_of_active_sellers__2[[#This Row],[totalurgencycount]]&gt;0, "Has Banner", "No Banner")</f>
        <v>No Banner</v>
      </c>
    </row>
    <row r="911" spans="1:18" x14ac:dyDescent="0.3">
      <c r="A911">
        <v>909</v>
      </c>
      <c r="B911" t="s">
        <v>692</v>
      </c>
      <c r="C911">
        <v>1</v>
      </c>
      <c r="D911">
        <v>50</v>
      </c>
      <c r="E911">
        <v>50</v>
      </c>
      <c r="F911">
        <v>4.01</v>
      </c>
      <c r="G911">
        <v>401</v>
      </c>
      <c r="H911">
        <v>25</v>
      </c>
      <c r="I911">
        <v>38</v>
      </c>
      <c r="J911">
        <v>35</v>
      </c>
      <c r="K911">
        <v>35</v>
      </c>
      <c r="L911">
        <v>6</v>
      </c>
      <c r="O911" s="2" t="str" cm="1">
        <f t="array" ref="O91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11" s="2" t="str" cm="1">
        <f t="array" ref="P911">_xlfn.IFS(Computed_insight___Success_of_active_sellers__2[[#This Row],[rating]]&gt;=4.5, "Excellent ", Computed_insight___Success_of_active_sellers__2[[#This Row],[rating]]&gt;=4, "Good ", Computed_insight___Success_of_active_sellers__2[[#This Row],[rating]]&gt;=3.5, "Average", TRUE, "Poor ")</f>
        <v xml:space="preserve">Good </v>
      </c>
      <c r="Q911" s="2" t="str" cm="1">
        <f t="array" ref="Q911">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911" s="2" t="str">
        <f>IF(Computed_insight___Success_of_active_sellers__2[[#This Row],[totalurgencycount]]&gt;0, "Has Banner", "No Banner")</f>
        <v>No Banner</v>
      </c>
    </row>
    <row r="912" spans="1:18" x14ac:dyDescent="0.3">
      <c r="A912">
        <v>910</v>
      </c>
      <c r="B912" t="s">
        <v>668</v>
      </c>
      <c r="C912">
        <v>1</v>
      </c>
      <c r="D912">
        <v>50</v>
      </c>
      <c r="E912">
        <v>50</v>
      </c>
      <c r="F912">
        <v>4.0940000000000003</v>
      </c>
      <c r="G912">
        <v>14358</v>
      </c>
      <c r="H912">
        <v>13</v>
      </c>
      <c r="I912">
        <v>11</v>
      </c>
      <c r="J912">
        <v>-18</v>
      </c>
      <c r="K912">
        <v>-18</v>
      </c>
      <c r="L912">
        <v>12</v>
      </c>
      <c r="O912" s="2" t="str" cm="1">
        <f t="array" ref="O91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12" s="2" t="str" cm="1">
        <f t="array" ref="P912">_xlfn.IFS(Computed_insight___Success_of_active_sellers__2[[#This Row],[rating]]&gt;=4.5, "Excellent ", Computed_insight___Success_of_active_sellers__2[[#This Row],[rating]]&gt;=4, "Good ", Computed_insight___Success_of_active_sellers__2[[#This Row],[rating]]&gt;=3.5, "Average", TRUE, "Poor ")</f>
        <v xml:space="preserve">Good </v>
      </c>
      <c r="Q912" s="2" t="str" cm="1">
        <f t="array" ref="Q912">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12" s="2" t="str">
        <f>IF(Computed_insight___Success_of_active_sellers__2[[#This Row],[totalurgencycount]]&gt;0, "Has Banner", "No Banner")</f>
        <v>No Banner</v>
      </c>
    </row>
    <row r="913" spans="1:18" x14ac:dyDescent="0.3">
      <c r="A913">
        <v>911</v>
      </c>
      <c r="B913" t="s">
        <v>73</v>
      </c>
      <c r="C913">
        <v>1</v>
      </c>
      <c r="D913">
        <v>50</v>
      </c>
      <c r="E913">
        <v>50</v>
      </c>
      <c r="F913">
        <v>4.12</v>
      </c>
      <c r="G913">
        <v>8397</v>
      </c>
      <c r="H913">
        <v>9</v>
      </c>
      <c r="I913">
        <v>33</v>
      </c>
      <c r="J913">
        <v>73</v>
      </c>
      <c r="K913">
        <v>73</v>
      </c>
      <c r="L913">
        <v>4</v>
      </c>
      <c r="O913" s="2" t="str" cm="1">
        <f t="array" ref="O91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13" s="2" t="str" cm="1">
        <f t="array" ref="P913">_xlfn.IFS(Computed_insight___Success_of_active_sellers__2[[#This Row],[rating]]&gt;=4.5, "Excellent ", Computed_insight___Success_of_active_sellers__2[[#This Row],[rating]]&gt;=4, "Good ", Computed_insight___Success_of_active_sellers__2[[#This Row],[rating]]&gt;=3.5, "Average", TRUE, "Poor ")</f>
        <v xml:space="preserve">Good </v>
      </c>
      <c r="Q913" s="2" t="str" cm="1">
        <f t="array" ref="Q91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13" s="2" t="str">
        <f>IF(Computed_insight___Success_of_active_sellers__2[[#This Row],[totalurgencycount]]&gt;0, "Has Banner", "No Banner")</f>
        <v>No Banner</v>
      </c>
    </row>
    <row r="914" spans="1:18" x14ac:dyDescent="0.3">
      <c r="A914">
        <v>912</v>
      </c>
      <c r="B914" t="s">
        <v>954</v>
      </c>
      <c r="C914">
        <v>1</v>
      </c>
      <c r="D914">
        <v>50</v>
      </c>
      <c r="E914">
        <v>50</v>
      </c>
      <c r="F914">
        <v>4.1280000000000001</v>
      </c>
      <c r="G914">
        <v>2283</v>
      </c>
      <c r="H914">
        <v>8</v>
      </c>
      <c r="I914">
        <v>7</v>
      </c>
      <c r="J914">
        <v>-14</v>
      </c>
      <c r="K914">
        <v>-14</v>
      </c>
      <c r="L914">
        <v>8</v>
      </c>
      <c r="O914" s="2" t="str" cm="1">
        <f t="array" ref="O91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14" s="2" t="str" cm="1">
        <f t="array" ref="P914">_xlfn.IFS(Computed_insight___Success_of_active_sellers__2[[#This Row],[rating]]&gt;=4.5, "Excellent ", Computed_insight___Success_of_active_sellers__2[[#This Row],[rating]]&gt;=4, "Good ", Computed_insight___Success_of_active_sellers__2[[#This Row],[rating]]&gt;=3.5, "Average", TRUE, "Poor ")</f>
        <v xml:space="preserve">Good </v>
      </c>
      <c r="Q914" s="2" t="str" cm="1">
        <f t="array" ref="Q91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14" s="2" t="str">
        <f>IF(Computed_insight___Success_of_active_sellers__2[[#This Row],[totalurgencycount]]&gt;0, "Has Banner", "No Banner")</f>
        <v>No Banner</v>
      </c>
    </row>
    <row r="915" spans="1:18" x14ac:dyDescent="0.3">
      <c r="A915">
        <v>913</v>
      </c>
      <c r="B915" t="s">
        <v>177</v>
      </c>
      <c r="C915">
        <v>1</v>
      </c>
      <c r="D915">
        <v>50</v>
      </c>
      <c r="E915">
        <v>50</v>
      </c>
      <c r="F915">
        <v>4.16</v>
      </c>
      <c r="G915">
        <v>19281</v>
      </c>
      <c r="H915">
        <v>8</v>
      </c>
      <c r="I915">
        <v>7</v>
      </c>
      <c r="J915">
        <v>-14</v>
      </c>
      <c r="K915">
        <v>-14</v>
      </c>
      <c r="L915">
        <v>6</v>
      </c>
      <c r="M915">
        <v>1</v>
      </c>
      <c r="N915">
        <v>100</v>
      </c>
      <c r="O915" s="2" t="str" cm="1">
        <f t="array" ref="O91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15" s="2" t="str" cm="1">
        <f t="array" ref="P915">_xlfn.IFS(Computed_insight___Success_of_active_sellers__2[[#This Row],[rating]]&gt;=4.5, "Excellent ", Computed_insight___Success_of_active_sellers__2[[#This Row],[rating]]&gt;=4, "Good ", Computed_insight___Success_of_active_sellers__2[[#This Row],[rating]]&gt;=3.5, "Average", TRUE, "Poor ")</f>
        <v xml:space="preserve">Good </v>
      </c>
      <c r="Q915" s="2" t="str" cm="1">
        <f t="array" ref="Q91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15" s="2" t="str">
        <f>IF(Computed_insight___Success_of_active_sellers__2[[#This Row],[totalurgencycount]]&gt;0, "Has Banner", "No Banner")</f>
        <v>Has Banner</v>
      </c>
    </row>
    <row r="916" spans="1:18" x14ac:dyDescent="0.3">
      <c r="A916">
        <v>914</v>
      </c>
      <c r="B916" t="s">
        <v>919</v>
      </c>
      <c r="C916">
        <v>1</v>
      </c>
      <c r="D916">
        <v>50</v>
      </c>
      <c r="E916">
        <v>50</v>
      </c>
      <c r="F916">
        <v>4.17</v>
      </c>
      <c r="G916">
        <v>47</v>
      </c>
      <c r="H916">
        <v>1</v>
      </c>
      <c r="I916">
        <v>8</v>
      </c>
      <c r="J916">
        <v>88</v>
      </c>
      <c r="K916">
        <v>88</v>
      </c>
      <c r="L916">
        <v>4</v>
      </c>
      <c r="O916" s="2" t="str" cm="1">
        <f t="array" ref="O91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16" s="2" t="str" cm="1">
        <f t="array" ref="P916">_xlfn.IFS(Computed_insight___Success_of_active_sellers__2[[#This Row],[rating]]&gt;=4.5, "Excellent ", Computed_insight___Success_of_active_sellers__2[[#This Row],[rating]]&gt;=4, "Good ", Computed_insight___Success_of_active_sellers__2[[#This Row],[rating]]&gt;=3.5, "Average", TRUE, "Poor ")</f>
        <v xml:space="preserve">Good </v>
      </c>
      <c r="Q916" s="2" t="str" cm="1">
        <f t="array" ref="Q91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16" s="2" t="str">
        <f>IF(Computed_insight___Success_of_active_sellers__2[[#This Row],[totalurgencycount]]&gt;0, "Has Banner", "No Banner")</f>
        <v>No Banner</v>
      </c>
    </row>
    <row r="917" spans="1:18" x14ac:dyDescent="0.3">
      <c r="A917">
        <v>915</v>
      </c>
      <c r="B917" t="s">
        <v>824</v>
      </c>
      <c r="C917">
        <v>1</v>
      </c>
      <c r="D917">
        <v>50</v>
      </c>
      <c r="E917">
        <v>50</v>
      </c>
      <c r="F917">
        <v>4.3230000000000004</v>
      </c>
      <c r="G917">
        <v>5508</v>
      </c>
      <c r="H917">
        <v>16</v>
      </c>
      <c r="I917">
        <v>14</v>
      </c>
      <c r="J917">
        <v>-14</v>
      </c>
      <c r="K917">
        <v>-14</v>
      </c>
      <c r="L917">
        <v>18</v>
      </c>
      <c r="O917" s="2" t="str" cm="1">
        <f t="array" ref="O91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17" s="2" t="str" cm="1">
        <f t="array" ref="P917">_xlfn.IFS(Computed_insight___Success_of_active_sellers__2[[#This Row],[rating]]&gt;=4.5, "Excellent ", Computed_insight___Success_of_active_sellers__2[[#This Row],[rating]]&gt;=4, "Good ", Computed_insight___Success_of_active_sellers__2[[#This Row],[rating]]&gt;=3.5, "Average", TRUE, "Poor ")</f>
        <v xml:space="preserve">Good </v>
      </c>
      <c r="Q917" s="2" t="str" cm="1">
        <f t="array" ref="Q91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17" s="2" t="str">
        <f>IF(Computed_insight___Success_of_active_sellers__2[[#This Row],[totalurgencycount]]&gt;0, "Has Banner", "No Banner")</f>
        <v>No Banner</v>
      </c>
    </row>
    <row r="918" spans="1:18" x14ac:dyDescent="0.3">
      <c r="A918">
        <v>916</v>
      </c>
      <c r="B918" t="s">
        <v>850</v>
      </c>
      <c r="C918">
        <v>1</v>
      </c>
      <c r="D918">
        <v>50</v>
      </c>
      <c r="E918">
        <v>50</v>
      </c>
      <c r="F918">
        <v>4.3849999999999998</v>
      </c>
      <c r="G918">
        <v>71919</v>
      </c>
      <c r="H918">
        <v>12</v>
      </c>
      <c r="I918">
        <v>17</v>
      </c>
      <c r="J918">
        <v>30</v>
      </c>
      <c r="K918">
        <v>30</v>
      </c>
      <c r="L918">
        <v>18</v>
      </c>
      <c r="M918">
        <v>1</v>
      </c>
      <c r="N918">
        <v>100</v>
      </c>
      <c r="O918" s="2" t="str" cm="1">
        <f t="array" ref="O91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18" s="2" t="str" cm="1">
        <f t="array" ref="P918">_xlfn.IFS(Computed_insight___Success_of_active_sellers__2[[#This Row],[rating]]&gt;=4.5, "Excellent ", Computed_insight___Success_of_active_sellers__2[[#This Row],[rating]]&gt;=4, "Good ", Computed_insight___Success_of_active_sellers__2[[#This Row],[rating]]&gt;=3.5, "Average", TRUE, "Poor ")</f>
        <v xml:space="preserve">Good </v>
      </c>
      <c r="Q918" s="2" t="str" cm="1">
        <f t="array" ref="Q918">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918" s="2" t="str">
        <f>IF(Computed_insight___Success_of_active_sellers__2[[#This Row],[totalurgencycount]]&gt;0, "Has Banner", "No Banner")</f>
        <v>Has Banner</v>
      </c>
    </row>
    <row r="919" spans="1:18" x14ac:dyDescent="0.3">
      <c r="A919">
        <v>917</v>
      </c>
      <c r="B919" t="s">
        <v>755</v>
      </c>
      <c r="C919">
        <v>1</v>
      </c>
      <c r="D919">
        <v>50</v>
      </c>
      <c r="E919">
        <v>50</v>
      </c>
      <c r="F919">
        <v>4.4340000000000002</v>
      </c>
      <c r="G919">
        <v>3063</v>
      </c>
      <c r="H919">
        <v>16</v>
      </c>
      <c r="I919">
        <v>14</v>
      </c>
      <c r="J919">
        <v>-14</v>
      </c>
      <c r="K919">
        <v>-14</v>
      </c>
      <c r="L919">
        <v>2</v>
      </c>
      <c r="O919" s="2" t="str" cm="1">
        <f t="array" ref="O91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19" s="2" t="str" cm="1">
        <f t="array" ref="P919">_xlfn.IFS(Computed_insight___Success_of_active_sellers__2[[#This Row],[rating]]&gt;=4.5, "Excellent ", Computed_insight___Success_of_active_sellers__2[[#This Row],[rating]]&gt;=4, "Good ", Computed_insight___Success_of_active_sellers__2[[#This Row],[rating]]&gt;=3.5, "Average", TRUE, "Poor ")</f>
        <v xml:space="preserve">Good </v>
      </c>
      <c r="Q919" s="2" t="str" cm="1">
        <f t="array" ref="Q91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19" s="2" t="str">
        <f>IF(Computed_insight___Success_of_active_sellers__2[[#This Row],[totalurgencycount]]&gt;0, "Has Banner", "No Banner")</f>
        <v>No Banner</v>
      </c>
    </row>
    <row r="920" spans="1:18" x14ac:dyDescent="0.3">
      <c r="A920">
        <v>918</v>
      </c>
      <c r="B920" t="s">
        <v>45</v>
      </c>
      <c r="C920">
        <v>3</v>
      </c>
      <c r="D920">
        <v>30</v>
      </c>
      <c r="E920">
        <v>10</v>
      </c>
      <c r="F920">
        <v>3.548</v>
      </c>
      <c r="G920">
        <v>31</v>
      </c>
      <c r="H920">
        <v>16</v>
      </c>
      <c r="I920">
        <v>14</v>
      </c>
      <c r="J920">
        <v>-14</v>
      </c>
      <c r="K920">
        <v>-14</v>
      </c>
      <c r="L920">
        <v>3</v>
      </c>
      <c r="M920">
        <v>1</v>
      </c>
      <c r="N920">
        <v>33</v>
      </c>
      <c r="O920" s="2" t="str" cm="1">
        <f t="array" ref="O92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20" s="2" t="str" cm="1">
        <f t="array" ref="P920">_xlfn.IFS(Computed_insight___Success_of_active_sellers__2[[#This Row],[rating]]&gt;=4.5, "Excellent ", Computed_insight___Success_of_active_sellers__2[[#This Row],[rating]]&gt;=4, "Good ", Computed_insight___Success_of_active_sellers__2[[#This Row],[rating]]&gt;=3.5, "Average", TRUE, "Poor ")</f>
        <v>Average</v>
      </c>
      <c r="Q920" s="2" t="str" cm="1">
        <f t="array" ref="Q92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20" s="2" t="str">
        <f>IF(Computed_insight___Success_of_active_sellers__2[[#This Row],[totalurgencycount]]&gt;0, "Has Banner", "No Banner")</f>
        <v>Has Banner</v>
      </c>
    </row>
    <row r="921" spans="1:18" x14ac:dyDescent="0.3">
      <c r="A921">
        <v>919</v>
      </c>
      <c r="B921" t="s">
        <v>428</v>
      </c>
      <c r="C921">
        <v>3</v>
      </c>
      <c r="D921">
        <v>30</v>
      </c>
      <c r="E921">
        <v>10</v>
      </c>
      <c r="F921">
        <v>3.915</v>
      </c>
      <c r="G921">
        <v>47</v>
      </c>
      <c r="H921">
        <v>11</v>
      </c>
      <c r="I921">
        <v>168</v>
      </c>
      <c r="J921">
        <v>94</v>
      </c>
      <c r="K921">
        <v>94</v>
      </c>
      <c r="L921">
        <v>3</v>
      </c>
      <c r="M921">
        <v>1</v>
      </c>
      <c r="N921">
        <v>33</v>
      </c>
      <c r="O921" s="2" t="str" cm="1">
        <f t="array" ref="O92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21" s="2" t="str" cm="1">
        <f t="array" ref="P921">_xlfn.IFS(Computed_insight___Success_of_active_sellers__2[[#This Row],[rating]]&gt;=4.5, "Excellent ", Computed_insight___Success_of_active_sellers__2[[#This Row],[rating]]&gt;=4, "Good ", Computed_insight___Success_of_active_sellers__2[[#This Row],[rating]]&gt;=3.5, "Average", TRUE, "Poor ")</f>
        <v>Average</v>
      </c>
      <c r="Q921" s="2" t="str" cm="1">
        <f t="array" ref="Q92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21" s="2" t="str">
        <f>IF(Computed_insight___Success_of_active_sellers__2[[#This Row],[totalurgencycount]]&gt;0, "Has Banner", "No Banner")</f>
        <v>Has Banner</v>
      </c>
    </row>
    <row r="922" spans="1:18" x14ac:dyDescent="0.3">
      <c r="A922">
        <v>920</v>
      </c>
      <c r="B922" t="s">
        <v>562</v>
      </c>
      <c r="C922">
        <v>3</v>
      </c>
      <c r="D922">
        <v>24</v>
      </c>
      <c r="E922">
        <v>8</v>
      </c>
      <c r="F922">
        <v>3.9169999999999998</v>
      </c>
      <c r="G922">
        <v>626</v>
      </c>
      <c r="H922">
        <v>8</v>
      </c>
      <c r="I922">
        <v>68</v>
      </c>
      <c r="J922">
        <v>89</v>
      </c>
      <c r="K922">
        <v>89</v>
      </c>
      <c r="L922">
        <v>0</v>
      </c>
      <c r="M922">
        <v>1</v>
      </c>
      <c r="N922">
        <v>33</v>
      </c>
      <c r="O922" s="2" t="str" cm="1">
        <f t="array" ref="O92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22" s="2" t="str" cm="1">
        <f t="array" ref="P922">_xlfn.IFS(Computed_insight___Success_of_active_sellers__2[[#This Row],[rating]]&gt;=4.5, "Excellent ", Computed_insight___Success_of_active_sellers__2[[#This Row],[rating]]&gt;=4, "Good ", Computed_insight___Success_of_active_sellers__2[[#This Row],[rating]]&gt;=3.5, "Average", TRUE, "Poor ")</f>
        <v>Average</v>
      </c>
      <c r="Q922" s="2" t="str" cm="1">
        <f t="array" ref="Q92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22" s="2" t="str">
        <f>IF(Computed_insight___Success_of_active_sellers__2[[#This Row],[totalurgencycount]]&gt;0, "Has Banner", "No Banner")</f>
        <v>Has Banner</v>
      </c>
    </row>
    <row r="923" spans="1:18" x14ac:dyDescent="0.3">
      <c r="A923">
        <v>921</v>
      </c>
      <c r="B923" t="s">
        <v>589</v>
      </c>
      <c r="C923">
        <v>2</v>
      </c>
      <c r="D923">
        <v>20</v>
      </c>
      <c r="E923">
        <v>10</v>
      </c>
      <c r="F923">
        <v>3.609</v>
      </c>
      <c r="G923">
        <v>46</v>
      </c>
      <c r="H923">
        <v>7</v>
      </c>
      <c r="I923">
        <v>17</v>
      </c>
      <c r="J923">
        <v>59</v>
      </c>
      <c r="K923">
        <v>59</v>
      </c>
      <c r="L923">
        <v>2</v>
      </c>
      <c r="O923" s="2" t="str" cm="1">
        <f t="array" ref="O92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23" s="2" t="str" cm="1">
        <f t="array" ref="P923">_xlfn.IFS(Computed_insight___Success_of_active_sellers__2[[#This Row],[rating]]&gt;=4.5, "Excellent ", Computed_insight___Success_of_active_sellers__2[[#This Row],[rating]]&gt;=4, "Good ", Computed_insight___Success_of_active_sellers__2[[#This Row],[rating]]&gt;=3.5, "Average", TRUE, "Poor ")</f>
        <v>Average</v>
      </c>
      <c r="Q923" s="2" t="str" cm="1">
        <f t="array" ref="Q92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23" s="2" t="str">
        <f>IF(Computed_insight___Success_of_active_sellers__2[[#This Row],[totalurgencycount]]&gt;0, "Has Banner", "No Banner")</f>
        <v>No Banner</v>
      </c>
    </row>
    <row r="924" spans="1:18" x14ac:dyDescent="0.3">
      <c r="A924">
        <v>922</v>
      </c>
      <c r="B924" t="s">
        <v>857</v>
      </c>
      <c r="C924">
        <v>2</v>
      </c>
      <c r="D924">
        <v>20</v>
      </c>
      <c r="E924">
        <v>10</v>
      </c>
      <c r="F924">
        <v>3.6669999999999998</v>
      </c>
      <c r="G924">
        <v>42</v>
      </c>
      <c r="H924">
        <v>2</v>
      </c>
      <c r="I924">
        <v>2</v>
      </c>
      <c r="J924">
        <v>0</v>
      </c>
      <c r="K924">
        <v>0</v>
      </c>
      <c r="L924">
        <v>5</v>
      </c>
      <c r="M924">
        <v>1</v>
      </c>
      <c r="N924">
        <v>50</v>
      </c>
      <c r="O924" s="2" t="str" cm="1">
        <f t="array" ref="O92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24" s="2" t="str" cm="1">
        <f t="array" ref="P924">_xlfn.IFS(Computed_insight___Success_of_active_sellers__2[[#This Row],[rating]]&gt;=4.5, "Excellent ", Computed_insight___Success_of_active_sellers__2[[#This Row],[rating]]&gt;=4, "Good ", Computed_insight___Success_of_active_sellers__2[[#This Row],[rating]]&gt;=3.5, "Average", TRUE, "Poor ")</f>
        <v>Average</v>
      </c>
      <c r="Q924" s="2" t="str" cm="1">
        <f t="array" ref="Q92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24" s="2" t="str">
        <f>IF(Computed_insight___Success_of_active_sellers__2[[#This Row],[totalurgencycount]]&gt;0, "Has Banner", "No Banner")</f>
        <v>Has Banner</v>
      </c>
    </row>
    <row r="925" spans="1:18" x14ac:dyDescent="0.3">
      <c r="A925">
        <v>923</v>
      </c>
      <c r="B925" t="s">
        <v>646</v>
      </c>
      <c r="C925">
        <v>2</v>
      </c>
      <c r="D925">
        <v>20</v>
      </c>
      <c r="E925">
        <v>10</v>
      </c>
      <c r="F925">
        <v>3.6909999999999998</v>
      </c>
      <c r="G925">
        <v>291</v>
      </c>
      <c r="H925">
        <v>9</v>
      </c>
      <c r="I925">
        <v>10</v>
      </c>
      <c r="J925">
        <v>10</v>
      </c>
      <c r="K925">
        <v>10</v>
      </c>
      <c r="L925">
        <v>0</v>
      </c>
      <c r="M925">
        <v>1</v>
      </c>
      <c r="N925">
        <v>50</v>
      </c>
      <c r="O925" s="2" t="str" cm="1">
        <f t="array" ref="O92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25" s="2" t="str" cm="1">
        <f t="array" ref="P925">_xlfn.IFS(Computed_insight___Success_of_active_sellers__2[[#This Row],[rating]]&gt;=4.5, "Excellent ", Computed_insight___Success_of_active_sellers__2[[#This Row],[rating]]&gt;=4, "Good ", Computed_insight___Success_of_active_sellers__2[[#This Row],[rating]]&gt;=3.5, "Average", TRUE, "Poor ")</f>
        <v>Average</v>
      </c>
      <c r="Q925" s="2" t="str" cm="1">
        <f t="array" ref="Q925">_xlfn.IFS(Computed_insight___Success_of_active_sellers__2[[#This Row],[meandiscount]]&gt;50, "High ", Computed_insight___Success_of_active_sellers__2[[#This Row],[meandiscount]]&gt;25, "Medium ", Computed_insight___Success_of_active_sellers__2[[#This Row],[meandiscount]]&gt;0, "Low ", TRUE, "No Discount")</f>
        <v xml:space="preserve">Low </v>
      </c>
      <c r="R925" s="2" t="str">
        <f>IF(Computed_insight___Success_of_active_sellers__2[[#This Row],[totalurgencycount]]&gt;0, "Has Banner", "No Banner")</f>
        <v>Has Banner</v>
      </c>
    </row>
    <row r="926" spans="1:18" x14ac:dyDescent="0.3">
      <c r="A926">
        <v>924</v>
      </c>
      <c r="B926" t="s">
        <v>624</v>
      </c>
      <c r="C926">
        <v>2</v>
      </c>
      <c r="D926">
        <v>20</v>
      </c>
      <c r="E926">
        <v>10</v>
      </c>
      <c r="F926">
        <v>3.6920000000000002</v>
      </c>
      <c r="G926">
        <v>13</v>
      </c>
      <c r="H926">
        <v>2.67</v>
      </c>
      <c r="I926">
        <v>67</v>
      </c>
      <c r="J926">
        <v>97</v>
      </c>
      <c r="K926">
        <v>97</v>
      </c>
      <c r="L926">
        <v>0</v>
      </c>
      <c r="M926">
        <v>1</v>
      </c>
      <c r="N926">
        <v>50</v>
      </c>
      <c r="O926" s="2" t="str" cm="1">
        <f t="array" ref="O92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26" s="2" t="str" cm="1">
        <f t="array" ref="P926">_xlfn.IFS(Computed_insight___Success_of_active_sellers__2[[#This Row],[rating]]&gt;=4.5, "Excellent ", Computed_insight___Success_of_active_sellers__2[[#This Row],[rating]]&gt;=4, "Good ", Computed_insight___Success_of_active_sellers__2[[#This Row],[rating]]&gt;=3.5, "Average", TRUE, "Poor ")</f>
        <v>Average</v>
      </c>
      <c r="Q926" s="2" t="str" cm="1">
        <f t="array" ref="Q926">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26" s="2" t="str">
        <f>IF(Computed_insight___Success_of_active_sellers__2[[#This Row],[totalurgencycount]]&gt;0, "Has Banner", "No Banner")</f>
        <v>Has Banner</v>
      </c>
    </row>
    <row r="927" spans="1:18" x14ac:dyDescent="0.3">
      <c r="A927">
        <v>925</v>
      </c>
      <c r="B927" t="s">
        <v>173</v>
      </c>
      <c r="C927">
        <v>2</v>
      </c>
      <c r="D927">
        <v>20</v>
      </c>
      <c r="E927">
        <v>10</v>
      </c>
      <c r="F927">
        <v>3.8370000000000002</v>
      </c>
      <c r="G927">
        <v>129</v>
      </c>
      <c r="H927">
        <v>5</v>
      </c>
      <c r="I927">
        <v>5</v>
      </c>
      <c r="J927">
        <v>0</v>
      </c>
      <c r="K927">
        <v>0</v>
      </c>
      <c r="L927">
        <v>0</v>
      </c>
      <c r="M927">
        <v>1</v>
      </c>
      <c r="N927">
        <v>50</v>
      </c>
      <c r="O927" s="2" t="str" cm="1">
        <f t="array" ref="O92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27" s="2" t="str" cm="1">
        <f t="array" ref="P927">_xlfn.IFS(Computed_insight___Success_of_active_sellers__2[[#This Row],[rating]]&gt;=4.5, "Excellent ", Computed_insight___Success_of_active_sellers__2[[#This Row],[rating]]&gt;=4, "Good ", Computed_insight___Success_of_active_sellers__2[[#This Row],[rating]]&gt;=3.5, "Average", TRUE, "Poor ")</f>
        <v>Average</v>
      </c>
      <c r="Q927" s="2" t="str" cm="1">
        <f t="array" ref="Q92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27" s="2" t="str">
        <f>IF(Computed_insight___Success_of_active_sellers__2[[#This Row],[totalurgencycount]]&gt;0, "Has Banner", "No Banner")</f>
        <v>Has Banner</v>
      </c>
    </row>
    <row r="928" spans="1:18" x14ac:dyDescent="0.3">
      <c r="A928">
        <v>926</v>
      </c>
      <c r="B928" t="s">
        <v>41</v>
      </c>
      <c r="C928">
        <v>2</v>
      </c>
      <c r="D928">
        <v>20</v>
      </c>
      <c r="E928">
        <v>10</v>
      </c>
      <c r="F928">
        <v>3.859</v>
      </c>
      <c r="G928">
        <v>397</v>
      </c>
      <c r="H928">
        <v>7</v>
      </c>
      <c r="I928">
        <v>68</v>
      </c>
      <c r="J928">
        <v>90</v>
      </c>
      <c r="K928">
        <v>90</v>
      </c>
      <c r="L928">
        <v>2</v>
      </c>
      <c r="M928">
        <v>1</v>
      </c>
      <c r="N928">
        <v>50</v>
      </c>
      <c r="O928" s="2" t="str" cm="1">
        <f t="array" ref="O92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28" s="2" t="str" cm="1">
        <f t="array" ref="P928">_xlfn.IFS(Computed_insight___Success_of_active_sellers__2[[#This Row],[rating]]&gt;=4.5, "Excellent ", Computed_insight___Success_of_active_sellers__2[[#This Row],[rating]]&gt;=4, "Good ", Computed_insight___Success_of_active_sellers__2[[#This Row],[rating]]&gt;=3.5, "Average", TRUE, "Poor ")</f>
        <v>Average</v>
      </c>
      <c r="Q928" s="2" t="str" cm="1">
        <f t="array" ref="Q92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28" s="2" t="str">
        <f>IF(Computed_insight___Success_of_active_sellers__2[[#This Row],[totalurgencycount]]&gt;0, "Has Banner", "No Banner")</f>
        <v>Has Banner</v>
      </c>
    </row>
    <row r="929" spans="1:18" x14ac:dyDescent="0.3">
      <c r="A929">
        <v>927</v>
      </c>
      <c r="B929" t="s">
        <v>582</v>
      </c>
      <c r="C929">
        <v>1</v>
      </c>
      <c r="D929">
        <v>10</v>
      </c>
      <c r="E929">
        <v>10</v>
      </c>
      <c r="F929">
        <v>2.3330000000000002</v>
      </c>
      <c r="G929">
        <v>3</v>
      </c>
      <c r="H929">
        <v>5.75</v>
      </c>
      <c r="I929">
        <v>5</v>
      </c>
      <c r="J929">
        <v>-15</v>
      </c>
      <c r="K929">
        <v>-15</v>
      </c>
      <c r="L929">
        <v>0</v>
      </c>
      <c r="O929" s="2" t="str" cm="1">
        <f t="array" ref="O92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29" s="2" t="str" cm="1">
        <f t="array" ref="P929">_xlfn.IFS(Computed_insight___Success_of_active_sellers__2[[#This Row],[rating]]&gt;=4.5, "Excellent ", Computed_insight___Success_of_active_sellers__2[[#This Row],[rating]]&gt;=4, "Good ", Computed_insight___Success_of_active_sellers__2[[#This Row],[rating]]&gt;=3.5, "Average", TRUE, "Poor ")</f>
        <v xml:space="preserve">Poor </v>
      </c>
      <c r="Q929" s="2" t="str" cm="1">
        <f t="array" ref="Q92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29" s="2" t="str">
        <f>IF(Computed_insight___Success_of_active_sellers__2[[#This Row],[totalurgencycount]]&gt;0, "Has Banner", "No Banner")</f>
        <v>No Banner</v>
      </c>
    </row>
    <row r="930" spans="1:18" x14ac:dyDescent="0.3">
      <c r="A930">
        <v>928</v>
      </c>
      <c r="B930" t="s">
        <v>7</v>
      </c>
      <c r="C930">
        <v>1</v>
      </c>
      <c r="D930">
        <v>10</v>
      </c>
      <c r="E930">
        <v>10</v>
      </c>
      <c r="F930">
        <v>3.508</v>
      </c>
      <c r="G930">
        <v>65</v>
      </c>
      <c r="H930">
        <v>3.92</v>
      </c>
      <c r="I930">
        <v>9</v>
      </c>
      <c r="J930">
        <v>57</v>
      </c>
      <c r="K930">
        <v>57</v>
      </c>
      <c r="L930">
        <v>1</v>
      </c>
      <c r="O930" s="2" t="str" cm="1">
        <f t="array" ref="O93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30" s="2" t="str" cm="1">
        <f t="array" ref="P930">_xlfn.IFS(Computed_insight___Success_of_active_sellers__2[[#This Row],[rating]]&gt;=4.5, "Excellent ", Computed_insight___Success_of_active_sellers__2[[#This Row],[rating]]&gt;=4, "Good ", Computed_insight___Success_of_active_sellers__2[[#This Row],[rating]]&gt;=3.5, "Average", TRUE, "Poor ")</f>
        <v>Average</v>
      </c>
      <c r="Q930" s="2" t="str" cm="1">
        <f t="array" ref="Q93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30" s="2" t="str">
        <f>IF(Computed_insight___Success_of_active_sellers__2[[#This Row],[totalurgencycount]]&gt;0, "Has Banner", "No Banner")</f>
        <v>No Banner</v>
      </c>
    </row>
    <row r="931" spans="1:18" x14ac:dyDescent="0.3">
      <c r="A931">
        <v>929</v>
      </c>
      <c r="B931" t="s">
        <v>325</v>
      </c>
      <c r="C931">
        <v>1</v>
      </c>
      <c r="D931">
        <v>10</v>
      </c>
      <c r="E931">
        <v>10</v>
      </c>
      <c r="F931">
        <v>3.625</v>
      </c>
      <c r="G931">
        <v>8</v>
      </c>
      <c r="H931">
        <v>8</v>
      </c>
      <c r="I931">
        <v>17</v>
      </c>
      <c r="J931">
        <v>53</v>
      </c>
      <c r="K931">
        <v>53</v>
      </c>
      <c r="L931">
        <v>0</v>
      </c>
      <c r="M931">
        <v>1</v>
      </c>
      <c r="N931">
        <v>100</v>
      </c>
      <c r="O931" s="2" t="str" cm="1">
        <f t="array" ref="O93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31" s="2" t="str" cm="1">
        <f t="array" ref="P931">_xlfn.IFS(Computed_insight___Success_of_active_sellers__2[[#This Row],[rating]]&gt;=4.5, "Excellent ", Computed_insight___Success_of_active_sellers__2[[#This Row],[rating]]&gt;=4, "Good ", Computed_insight___Success_of_active_sellers__2[[#This Row],[rating]]&gt;=3.5, "Average", TRUE, "Poor ")</f>
        <v>Average</v>
      </c>
      <c r="Q931" s="2" t="str" cm="1">
        <f t="array" ref="Q93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31" s="2" t="str">
        <f>IF(Computed_insight___Success_of_active_sellers__2[[#This Row],[totalurgencycount]]&gt;0, "Has Banner", "No Banner")</f>
        <v>Has Banner</v>
      </c>
    </row>
    <row r="932" spans="1:18" x14ac:dyDescent="0.3">
      <c r="A932">
        <v>930</v>
      </c>
      <c r="B932" t="s">
        <v>258</v>
      </c>
      <c r="C932">
        <v>1</v>
      </c>
      <c r="D932">
        <v>10</v>
      </c>
      <c r="E932">
        <v>10</v>
      </c>
      <c r="F932">
        <v>3.76</v>
      </c>
      <c r="G932">
        <v>1531</v>
      </c>
      <c r="H932">
        <v>7</v>
      </c>
      <c r="I932">
        <v>22</v>
      </c>
      <c r="J932">
        <v>69</v>
      </c>
      <c r="K932">
        <v>69</v>
      </c>
      <c r="L932">
        <v>4</v>
      </c>
      <c r="O932" s="2" t="str" cm="1">
        <f t="array" ref="O93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32" s="2" t="str" cm="1">
        <f t="array" ref="P932">_xlfn.IFS(Computed_insight___Success_of_active_sellers__2[[#This Row],[rating]]&gt;=4.5, "Excellent ", Computed_insight___Success_of_active_sellers__2[[#This Row],[rating]]&gt;=4, "Good ", Computed_insight___Success_of_active_sellers__2[[#This Row],[rating]]&gt;=3.5, "Average", TRUE, "Poor ")</f>
        <v>Average</v>
      </c>
      <c r="Q932" s="2" t="str" cm="1">
        <f t="array" ref="Q93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32" s="2" t="str">
        <f>IF(Computed_insight___Success_of_active_sellers__2[[#This Row],[totalurgencycount]]&gt;0, "Has Banner", "No Banner")</f>
        <v>No Banner</v>
      </c>
    </row>
    <row r="933" spans="1:18" x14ac:dyDescent="0.3">
      <c r="A933">
        <v>931</v>
      </c>
      <c r="B933" t="s">
        <v>460</v>
      </c>
      <c r="C933">
        <v>1</v>
      </c>
      <c r="D933">
        <v>10</v>
      </c>
      <c r="E933">
        <v>10</v>
      </c>
      <c r="F933">
        <v>3.778</v>
      </c>
      <c r="G933">
        <v>72</v>
      </c>
      <c r="H933">
        <v>3.7</v>
      </c>
      <c r="I933">
        <v>9</v>
      </c>
      <c r="J933">
        <v>59</v>
      </c>
      <c r="K933">
        <v>59</v>
      </c>
      <c r="L933">
        <v>4</v>
      </c>
      <c r="M933">
        <v>1</v>
      </c>
      <c r="N933">
        <v>100</v>
      </c>
      <c r="O933" s="2" t="str" cm="1">
        <f t="array" ref="O93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33" s="2" t="str" cm="1">
        <f t="array" ref="P933">_xlfn.IFS(Computed_insight___Success_of_active_sellers__2[[#This Row],[rating]]&gt;=4.5, "Excellent ", Computed_insight___Success_of_active_sellers__2[[#This Row],[rating]]&gt;=4, "Good ", Computed_insight___Success_of_active_sellers__2[[#This Row],[rating]]&gt;=3.5, "Average", TRUE, "Poor ")</f>
        <v>Average</v>
      </c>
      <c r="Q933" s="2" t="str" cm="1">
        <f t="array" ref="Q93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33" s="2" t="str">
        <f>IF(Computed_insight___Success_of_active_sellers__2[[#This Row],[totalurgencycount]]&gt;0, "Has Banner", "No Banner")</f>
        <v>Has Banner</v>
      </c>
    </row>
    <row r="934" spans="1:18" x14ac:dyDescent="0.3">
      <c r="A934">
        <v>932</v>
      </c>
      <c r="B934" t="s">
        <v>652</v>
      </c>
      <c r="C934">
        <v>1</v>
      </c>
      <c r="D934">
        <v>10</v>
      </c>
      <c r="E934">
        <v>10</v>
      </c>
      <c r="F934">
        <v>3.81</v>
      </c>
      <c r="G934">
        <v>4485</v>
      </c>
      <c r="H934">
        <v>7</v>
      </c>
      <c r="I934">
        <v>7</v>
      </c>
      <c r="J934">
        <v>0</v>
      </c>
      <c r="K934">
        <v>0</v>
      </c>
      <c r="L934">
        <v>11</v>
      </c>
      <c r="M934">
        <v>1</v>
      </c>
      <c r="N934">
        <v>100</v>
      </c>
      <c r="O934" s="2" t="str" cm="1">
        <f t="array" ref="O93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34" s="2" t="str" cm="1">
        <f t="array" ref="P934">_xlfn.IFS(Computed_insight___Success_of_active_sellers__2[[#This Row],[rating]]&gt;=4.5, "Excellent ", Computed_insight___Success_of_active_sellers__2[[#This Row],[rating]]&gt;=4, "Good ", Computed_insight___Success_of_active_sellers__2[[#This Row],[rating]]&gt;=3.5, "Average", TRUE, "Poor ")</f>
        <v>Average</v>
      </c>
      <c r="Q934" s="2" t="str" cm="1">
        <f t="array" ref="Q934">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34" s="2" t="str">
        <f>IF(Computed_insight___Success_of_active_sellers__2[[#This Row],[totalurgencycount]]&gt;0, "Has Banner", "No Banner")</f>
        <v>Has Banner</v>
      </c>
    </row>
    <row r="935" spans="1:18" x14ac:dyDescent="0.3">
      <c r="A935">
        <v>933</v>
      </c>
      <c r="B935" t="s">
        <v>527</v>
      </c>
      <c r="C935">
        <v>1</v>
      </c>
      <c r="D935">
        <v>10</v>
      </c>
      <c r="E935">
        <v>10</v>
      </c>
      <c r="F935">
        <v>3.8730000000000002</v>
      </c>
      <c r="G935">
        <v>528</v>
      </c>
      <c r="H935">
        <v>11</v>
      </c>
      <c r="I935">
        <v>70</v>
      </c>
      <c r="J935">
        <v>85</v>
      </c>
      <c r="K935">
        <v>85</v>
      </c>
      <c r="L935">
        <v>2</v>
      </c>
      <c r="O935" s="2" t="str" cm="1">
        <f t="array" ref="O93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35" s="2" t="str" cm="1">
        <f t="array" ref="P935">_xlfn.IFS(Computed_insight___Success_of_active_sellers__2[[#This Row],[rating]]&gt;=4.5, "Excellent ", Computed_insight___Success_of_active_sellers__2[[#This Row],[rating]]&gt;=4, "Good ", Computed_insight___Success_of_active_sellers__2[[#This Row],[rating]]&gt;=3.5, "Average", TRUE, "Poor ")</f>
        <v>Average</v>
      </c>
      <c r="Q935" s="2" t="str" cm="1">
        <f t="array" ref="Q935">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35" s="2" t="str">
        <f>IF(Computed_insight___Success_of_active_sellers__2[[#This Row],[totalurgencycount]]&gt;0, "Has Banner", "No Banner")</f>
        <v>No Banner</v>
      </c>
    </row>
    <row r="936" spans="1:18" x14ac:dyDescent="0.3">
      <c r="A936">
        <v>934</v>
      </c>
      <c r="B936" t="s">
        <v>523</v>
      </c>
      <c r="C936">
        <v>1</v>
      </c>
      <c r="D936">
        <v>10</v>
      </c>
      <c r="E936">
        <v>10</v>
      </c>
      <c r="F936">
        <v>3.875</v>
      </c>
      <c r="G936">
        <v>514</v>
      </c>
      <c r="H936">
        <v>14</v>
      </c>
      <c r="I936">
        <v>12</v>
      </c>
      <c r="J936">
        <v>-16</v>
      </c>
      <c r="K936">
        <v>-16</v>
      </c>
      <c r="L936">
        <v>2</v>
      </c>
      <c r="M936">
        <v>1</v>
      </c>
      <c r="N936">
        <v>100</v>
      </c>
      <c r="O936" s="2" t="str" cm="1">
        <f t="array" ref="O93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36" s="2" t="str" cm="1">
        <f t="array" ref="P936">_xlfn.IFS(Computed_insight___Success_of_active_sellers__2[[#This Row],[rating]]&gt;=4.5, "Excellent ", Computed_insight___Success_of_active_sellers__2[[#This Row],[rating]]&gt;=4, "Good ", Computed_insight___Success_of_active_sellers__2[[#This Row],[rating]]&gt;=3.5, "Average", TRUE, "Poor ")</f>
        <v>Average</v>
      </c>
      <c r="Q936" s="2" t="str" cm="1">
        <f t="array" ref="Q93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36" s="2" t="str">
        <f>IF(Computed_insight___Success_of_active_sellers__2[[#This Row],[totalurgencycount]]&gt;0, "Has Banner", "No Banner")</f>
        <v>Has Banner</v>
      </c>
    </row>
    <row r="937" spans="1:18" x14ac:dyDescent="0.3">
      <c r="A937">
        <v>935</v>
      </c>
      <c r="B937" t="s">
        <v>808</v>
      </c>
      <c r="C937">
        <v>1</v>
      </c>
      <c r="D937">
        <v>10</v>
      </c>
      <c r="E937">
        <v>10</v>
      </c>
      <c r="F937">
        <v>3.9590000000000001</v>
      </c>
      <c r="G937">
        <v>5123</v>
      </c>
      <c r="H937">
        <v>6</v>
      </c>
      <c r="I937">
        <v>6</v>
      </c>
      <c r="J937">
        <v>0</v>
      </c>
      <c r="K937">
        <v>0</v>
      </c>
      <c r="L937">
        <v>4</v>
      </c>
      <c r="O937" s="2" t="str" cm="1">
        <f t="array" ref="O93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37" s="2" t="str" cm="1">
        <f t="array" ref="P937">_xlfn.IFS(Computed_insight___Success_of_active_sellers__2[[#This Row],[rating]]&gt;=4.5, "Excellent ", Computed_insight___Success_of_active_sellers__2[[#This Row],[rating]]&gt;=4, "Good ", Computed_insight___Success_of_active_sellers__2[[#This Row],[rating]]&gt;=3.5, "Average", TRUE, "Poor ")</f>
        <v>Average</v>
      </c>
      <c r="Q937" s="2" t="str" cm="1">
        <f t="array" ref="Q937">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37" s="2" t="str">
        <f>IF(Computed_insight___Success_of_active_sellers__2[[#This Row],[totalurgencycount]]&gt;0, "Has Banner", "No Banner")</f>
        <v>No Banner</v>
      </c>
    </row>
    <row r="938" spans="1:18" x14ac:dyDescent="0.3">
      <c r="A938">
        <v>936</v>
      </c>
      <c r="B938" t="s">
        <v>108</v>
      </c>
      <c r="C938">
        <v>1</v>
      </c>
      <c r="D938">
        <v>10</v>
      </c>
      <c r="E938">
        <v>10</v>
      </c>
      <c r="F938">
        <v>4.008</v>
      </c>
      <c r="G938">
        <v>238</v>
      </c>
      <c r="H938">
        <v>12</v>
      </c>
      <c r="I938">
        <v>67</v>
      </c>
      <c r="J938">
        <v>83</v>
      </c>
      <c r="K938">
        <v>83</v>
      </c>
      <c r="L938">
        <v>3</v>
      </c>
      <c r="O938" s="2" t="str" cm="1">
        <f t="array" ref="O93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38" s="2" t="str" cm="1">
        <f t="array" ref="P938">_xlfn.IFS(Computed_insight___Success_of_active_sellers__2[[#This Row],[rating]]&gt;=4.5, "Excellent ", Computed_insight___Success_of_active_sellers__2[[#This Row],[rating]]&gt;=4, "Good ", Computed_insight___Success_of_active_sellers__2[[#This Row],[rating]]&gt;=3.5, "Average", TRUE, "Poor ")</f>
        <v xml:space="preserve">Good </v>
      </c>
      <c r="Q938" s="2" t="str" cm="1">
        <f t="array" ref="Q938">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38" s="2" t="str">
        <f>IF(Computed_insight___Success_of_active_sellers__2[[#This Row],[totalurgencycount]]&gt;0, "Has Banner", "No Banner")</f>
        <v>No Banner</v>
      </c>
    </row>
    <row r="939" spans="1:18" x14ac:dyDescent="0.3">
      <c r="A939">
        <v>937</v>
      </c>
      <c r="B939" t="s">
        <v>504</v>
      </c>
      <c r="C939">
        <v>1</v>
      </c>
      <c r="D939">
        <v>10</v>
      </c>
      <c r="E939">
        <v>10</v>
      </c>
      <c r="F939">
        <v>4.0149999999999997</v>
      </c>
      <c r="G939">
        <v>676</v>
      </c>
      <c r="H939">
        <v>16</v>
      </c>
      <c r="I939">
        <v>25</v>
      </c>
      <c r="J939">
        <v>36</v>
      </c>
      <c r="K939">
        <v>36</v>
      </c>
      <c r="L939">
        <v>4</v>
      </c>
      <c r="O939" s="2" t="str" cm="1">
        <f t="array" ref="O93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39" s="2" t="str" cm="1">
        <f t="array" ref="P939">_xlfn.IFS(Computed_insight___Success_of_active_sellers__2[[#This Row],[rating]]&gt;=4.5, "Excellent ", Computed_insight___Success_of_active_sellers__2[[#This Row],[rating]]&gt;=4, "Good ", Computed_insight___Success_of_active_sellers__2[[#This Row],[rating]]&gt;=3.5, "Average", TRUE, "Poor ")</f>
        <v xml:space="preserve">Good </v>
      </c>
      <c r="Q939" s="2" t="str" cm="1">
        <f t="array" ref="Q939">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939" s="2" t="str">
        <f>IF(Computed_insight___Success_of_active_sellers__2[[#This Row],[totalurgencycount]]&gt;0, "Has Banner", "No Banner")</f>
        <v>No Banner</v>
      </c>
    </row>
    <row r="940" spans="1:18" x14ac:dyDescent="0.3">
      <c r="A940">
        <v>938</v>
      </c>
      <c r="B940" t="s">
        <v>336</v>
      </c>
      <c r="C940">
        <v>1</v>
      </c>
      <c r="D940">
        <v>10</v>
      </c>
      <c r="E940">
        <v>10</v>
      </c>
      <c r="F940">
        <v>4.0209999999999999</v>
      </c>
      <c r="G940">
        <v>331</v>
      </c>
      <c r="H940">
        <v>15</v>
      </c>
      <c r="I940">
        <v>13</v>
      </c>
      <c r="J940">
        <v>-15</v>
      </c>
      <c r="K940">
        <v>-15</v>
      </c>
      <c r="L940">
        <v>4</v>
      </c>
      <c r="O940" s="2" t="str" cm="1">
        <f t="array" ref="O94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40" s="2" t="str" cm="1">
        <f t="array" ref="P940">_xlfn.IFS(Computed_insight___Success_of_active_sellers__2[[#This Row],[rating]]&gt;=4.5, "Excellent ", Computed_insight___Success_of_active_sellers__2[[#This Row],[rating]]&gt;=4, "Good ", Computed_insight___Success_of_active_sellers__2[[#This Row],[rating]]&gt;=3.5, "Average", TRUE, "Poor ")</f>
        <v xml:space="preserve">Good </v>
      </c>
      <c r="Q940" s="2" t="str" cm="1">
        <f t="array" ref="Q940">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40" s="2" t="str">
        <f>IF(Computed_insight___Success_of_active_sellers__2[[#This Row],[totalurgencycount]]&gt;0, "Has Banner", "No Banner")</f>
        <v>No Banner</v>
      </c>
    </row>
    <row r="941" spans="1:18" x14ac:dyDescent="0.3">
      <c r="A941">
        <v>939</v>
      </c>
      <c r="B941" t="s">
        <v>500</v>
      </c>
      <c r="C941">
        <v>1</v>
      </c>
      <c r="D941">
        <v>10</v>
      </c>
      <c r="E941">
        <v>10</v>
      </c>
      <c r="F941">
        <v>4.0369999999999999</v>
      </c>
      <c r="G941">
        <v>28798</v>
      </c>
      <c r="H941">
        <v>5.65</v>
      </c>
      <c r="I941">
        <v>33</v>
      </c>
      <c r="J941">
        <v>83</v>
      </c>
      <c r="K941">
        <v>83</v>
      </c>
      <c r="L941">
        <v>0</v>
      </c>
      <c r="M941">
        <v>1</v>
      </c>
      <c r="N941">
        <v>100</v>
      </c>
      <c r="O941" s="2" t="str" cm="1">
        <f t="array" ref="O94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41" s="2" t="str" cm="1">
        <f t="array" ref="P941">_xlfn.IFS(Computed_insight___Success_of_active_sellers__2[[#This Row],[rating]]&gt;=4.5, "Excellent ", Computed_insight___Success_of_active_sellers__2[[#This Row],[rating]]&gt;=4, "Good ", Computed_insight___Success_of_active_sellers__2[[#This Row],[rating]]&gt;=3.5, "Average", TRUE, "Poor ")</f>
        <v xml:space="preserve">Good </v>
      </c>
      <c r="Q941" s="2" t="str" cm="1">
        <f t="array" ref="Q941">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41" s="2" t="str">
        <f>IF(Computed_insight___Success_of_active_sellers__2[[#This Row],[totalurgencycount]]&gt;0, "Has Banner", "No Banner")</f>
        <v>Has Banner</v>
      </c>
    </row>
    <row r="942" spans="1:18" x14ac:dyDescent="0.3">
      <c r="A942">
        <v>940</v>
      </c>
      <c r="B942" t="s">
        <v>687</v>
      </c>
      <c r="C942">
        <v>1</v>
      </c>
      <c r="D942">
        <v>10</v>
      </c>
      <c r="E942">
        <v>10</v>
      </c>
      <c r="F942">
        <v>4.0419999999999998</v>
      </c>
      <c r="G942">
        <v>3694</v>
      </c>
      <c r="H942">
        <v>7</v>
      </c>
      <c r="I942">
        <v>66</v>
      </c>
      <c r="J942">
        <v>90</v>
      </c>
      <c r="K942">
        <v>90</v>
      </c>
      <c r="L942">
        <v>0</v>
      </c>
      <c r="O942" s="2" t="str" cm="1">
        <f t="array" ref="O94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42" s="2" t="str" cm="1">
        <f t="array" ref="P942">_xlfn.IFS(Computed_insight___Success_of_active_sellers__2[[#This Row],[rating]]&gt;=4.5, "Excellent ", Computed_insight___Success_of_active_sellers__2[[#This Row],[rating]]&gt;=4, "Good ", Computed_insight___Success_of_active_sellers__2[[#This Row],[rating]]&gt;=3.5, "Average", TRUE, "Poor ")</f>
        <v xml:space="preserve">Good </v>
      </c>
      <c r="Q942" s="2" t="str" cm="1">
        <f t="array" ref="Q94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42" s="2" t="str">
        <f>IF(Computed_insight___Success_of_active_sellers__2[[#This Row],[totalurgencycount]]&gt;0, "Has Banner", "No Banner")</f>
        <v>No Banner</v>
      </c>
    </row>
    <row r="943" spans="1:18" x14ac:dyDescent="0.3">
      <c r="A943">
        <v>941</v>
      </c>
      <c r="B943" t="s">
        <v>781</v>
      </c>
      <c r="C943">
        <v>1</v>
      </c>
      <c r="D943">
        <v>10</v>
      </c>
      <c r="E943">
        <v>10</v>
      </c>
      <c r="F943">
        <v>4.0620000000000003</v>
      </c>
      <c r="G943">
        <v>193</v>
      </c>
      <c r="H943">
        <v>7</v>
      </c>
      <c r="I943">
        <v>7</v>
      </c>
      <c r="J943">
        <v>0</v>
      </c>
      <c r="K943">
        <v>0</v>
      </c>
      <c r="L943">
        <v>0</v>
      </c>
      <c r="O943" s="2" t="str" cm="1">
        <f t="array" ref="O94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43" s="2" t="str" cm="1">
        <f t="array" ref="P943">_xlfn.IFS(Computed_insight___Success_of_active_sellers__2[[#This Row],[rating]]&gt;=4.5, "Excellent ", Computed_insight___Success_of_active_sellers__2[[#This Row],[rating]]&gt;=4, "Good ", Computed_insight___Success_of_active_sellers__2[[#This Row],[rating]]&gt;=3.5, "Average", TRUE, "Poor ")</f>
        <v xml:space="preserve">Good </v>
      </c>
      <c r="Q943" s="2" t="str" cm="1">
        <f t="array" ref="Q943">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43" s="2" t="str">
        <f>IF(Computed_insight___Success_of_active_sellers__2[[#This Row],[totalurgencycount]]&gt;0, "Has Banner", "No Banner")</f>
        <v>No Banner</v>
      </c>
    </row>
    <row r="944" spans="1:18" x14ac:dyDescent="0.3">
      <c r="A944">
        <v>942</v>
      </c>
      <c r="B944" t="s">
        <v>72</v>
      </c>
      <c r="C944">
        <v>1</v>
      </c>
      <c r="D944">
        <v>10</v>
      </c>
      <c r="E944">
        <v>10</v>
      </c>
      <c r="F944">
        <v>4.17</v>
      </c>
      <c r="G944">
        <v>1496</v>
      </c>
      <c r="H944">
        <v>8</v>
      </c>
      <c r="I944">
        <v>33</v>
      </c>
      <c r="J944">
        <v>76</v>
      </c>
      <c r="K944">
        <v>76</v>
      </c>
      <c r="L944">
        <v>0</v>
      </c>
      <c r="O944" s="2" t="str" cm="1">
        <f t="array" ref="O94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44" s="2" t="str" cm="1">
        <f t="array" ref="P944">_xlfn.IFS(Computed_insight___Success_of_active_sellers__2[[#This Row],[rating]]&gt;=4.5, "Excellent ", Computed_insight___Success_of_active_sellers__2[[#This Row],[rating]]&gt;=4, "Good ", Computed_insight___Success_of_active_sellers__2[[#This Row],[rating]]&gt;=3.5, "Average", TRUE, "Poor ")</f>
        <v xml:space="preserve">Good </v>
      </c>
      <c r="Q944" s="2" t="str" cm="1">
        <f t="array" ref="Q94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44" s="2" t="str">
        <f>IF(Computed_insight___Success_of_active_sellers__2[[#This Row],[totalurgencycount]]&gt;0, "Has Banner", "No Banner")</f>
        <v>No Banner</v>
      </c>
    </row>
    <row r="945" spans="1:18" x14ac:dyDescent="0.3">
      <c r="A945">
        <v>943</v>
      </c>
      <c r="B945" t="s">
        <v>285</v>
      </c>
      <c r="C945">
        <v>1</v>
      </c>
      <c r="D945">
        <v>10</v>
      </c>
      <c r="E945">
        <v>10</v>
      </c>
      <c r="F945">
        <v>4.173</v>
      </c>
      <c r="G945">
        <v>9217</v>
      </c>
      <c r="H945">
        <v>14</v>
      </c>
      <c r="I945">
        <v>12</v>
      </c>
      <c r="J945">
        <v>-16</v>
      </c>
      <c r="K945">
        <v>-16</v>
      </c>
      <c r="L945">
        <v>1</v>
      </c>
      <c r="O945" s="2" t="str" cm="1">
        <f t="array" ref="O94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45" s="2" t="str" cm="1">
        <f t="array" ref="P945">_xlfn.IFS(Computed_insight___Success_of_active_sellers__2[[#This Row],[rating]]&gt;=4.5, "Excellent ", Computed_insight___Success_of_active_sellers__2[[#This Row],[rating]]&gt;=4, "Good ", Computed_insight___Success_of_active_sellers__2[[#This Row],[rating]]&gt;=3.5, "Average", TRUE, "Poor ")</f>
        <v xml:space="preserve">Good </v>
      </c>
      <c r="Q945" s="2" t="str" cm="1">
        <f t="array" ref="Q94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45" s="2" t="str">
        <f>IF(Computed_insight___Success_of_active_sellers__2[[#This Row],[totalurgencycount]]&gt;0, "Has Banner", "No Banner")</f>
        <v>No Banner</v>
      </c>
    </row>
    <row r="946" spans="1:18" x14ac:dyDescent="0.3">
      <c r="A946">
        <v>944</v>
      </c>
      <c r="B946" t="s">
        <v>748</v>
      </c>
      <c r="C946">
        <v>1</v>
      </c>
      <c r="D946">
        <v>10</v>
      </c>
      <c r="E946">
        <v>10</v>
      </c>
      <c r="F946">
        <v>4.2</v>
      </c>
      <c r="G946">
        <v>60</v>
      </c>
      <c r="H946">
        <v>3.71</v>
      </c>
      <c r="I946">
        <v>5</v>
      </c>
      <c r="J946">
        <v>26</v>
      </c>
      <c r="K946">
        <v>26</v>
      </c>
      <c r="L946">
        <v>1</v>
      </c>
      <c r="O946" s="2" t="str" cm="1">
        <f t="array" ref="O94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46" s="2" t="str" cm="1">
        <f t="array" ref="P946">_xlfn.IFS(Computed_insight___Success_of_active_sellers__2[[#This Row],[rating]]&gt;=4.5, "Excellent ", Computed_insight___Success_of_active_sellers__2[[#This Row],[rating]]&gt;=4, "Good ", Computed_insight___Success_of_active_sellers__2[[#This Row],[rating]]&gt;=3.5, "Average", TRUE, "Poor ")</f>
        <v xml:space="preserve">Good </v>
      </c>
      <c r="Q946" s="2" t="str" cm="1">
        <f t="array" ref="Q946">_xlfn.IFS(Computed_insight___Success_of_active_sellers__2[[#This Row],[meandiscount]]&gt;50, "High ", Computed_insight___Success_of_active_sellers__2[[#This Row],[meandiscount]]&gt;25, "Medium ", Computed_insight___Success_of_active_sellers__2[[#This Row],[meandiscount]]&gt;0, "Low ", TRUE, "No Discount")</f>
        <v xml:space="preserve">Medium </v>
      </c>
      <c r="R946" s="2" t="str">
        <f>IF(Computed_insight___Success_of_active_sellers__2[[#This Row],[totalurgencycount]]&gt;0, "Has Banner", "No Banner")</f>
        <v>No Banner</v>
      </c>
    </row>
    <row r="947" spans="1:18" x14ac:dyDescent="0.3">
      <c r="A947">
        <v>945</v>
      </c>
      <c r="B947" t="s">
        <v>195</v>
      </c>
      <c r="C947">
        <v>1</v>
      </c>
      <c r="D947">
        <v>10</v>
      </c>
      <c r="E947">
        <v>10</v>
      </c>
      <c r="F947">
        <v>4.2949999999999999</v>
      </c>
      <c r="G947">
        <v>22621</v>
      </c>
      <c r="H947">
        <v>11</v>
      </c>
      <c r="I947">
        <v>30</v>
      </c>
      <c r="J947">
        <v>64</v>
      </c>
      <c r="K947">
        <v>64</v>
      </c>
      <c r="L947">
        <v>0</v>
      </c>
      <c r="M947">
        <v>1</v>
      </c>
      <c r="N947">
        <v>100</v>
      </c>
      <c r="O947" s="2" t="str" cm="1">
        <f t="array" ref="O94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47" s="2" t="str" cm="1">
        <f t="array" ref="P947">_xlfn.IFS(Computed_insight___Success_of_active_sellers__2[[#This Row],[rating]]&gt;=4.5, "Excellent ", Computed_insight___Success_of_active_sellers__2[[#This Row],[rating]]&gt;=4, "Good ", Computed_insight___Success_of_active_sellers__2[[#This Row],[rating]]&gt;=3.5, "Average", TRUE, "Poor ")</f>
        <v xml:space="preserve">Good </v>
      </c>
      <c r="Q947" s="2" t="str" cm="1">
        <f t="array" ref="Q94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47" s="2" t="str">
        <f>IF(Computed_insight___Success_of_active_sellers__2[[#This Row],[totalurgencycount]]&gt;0, "Has Banner", "No Banner")</f>
        <v>Has Banner</v>
      </c>
    </row>
    <row r="948" spans="1:18" x14ac:dyDescent="0.3">
      <c r="A948">
        <v>946</v>
      </c>
      <c r="B948" t="s">
        <v>908</v>
      </c>
      <c r="C948">
        <v>1</v>
      </c>
      <c r="D948">
        <v>10</v>
      </c>
      <c r="E948">
        <v>10</v>
      </c>
      <c r="F948">
        <v>4.3259999999999996</v>
      </c>
      <c r="G948">
        <v>173992</v>
      </c>
      <c r="H948">
        <v>8</v>
      </c>
      <c r="I948">
        <v>7</v>
      </c>
      <c r="J948">
        <v>-14</v>
      </c>
      <c r="K948">
        <v>-14</v>
      </c>
      <c r="L948">
        <v>2</v>
      </c>
      <c r="O948" s="2" t="str" cm="1">
        <f t="array" ref="O94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48" s="2" t="str" cm="1">
        <f t="array" ref="P948">_xlfn.IFS(Computed_insight___Success_of_active_sellers__2[[#This Row],[rating]]&gt;=4.5, "Excellent ", Computed_insight___Success_of_active_sellers__2[[#This Row],[rating]]&gt;=4, "Good ", Computed_insight___Success_of_active_sellers__2[[#This Row],[rating]]&gt;=3.5, "Average", TRUE, "Poor ")</f>
        <v xml:space="preserve">Good </v>
      </c>
      <c r="Q948" s="2" t="str" cm="1">
        <f t="array" ref="Q94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48" s="2" t="str">
        <f>IF(Computed_insight___Success_of_active_sellers__2[[#This Row],[totalurgencycount]]&gt;0, "Has Banner", "No Banner")</f>
        <v>No Banner</v>
      </c>
    </row>
    <row r="949" spans="1:18" x14ac:dyDescent="0.3">
      <c r="A949">
        <v>947</v>
      </c>
      <c r="B949" t="s">
        <v>802</v>
      </c>
      <c r="C949">
        <v>1</v>
      </c>
      <c r="D949">
        <v>10</v>
      </c>
      <c r="E949">
        <v>10</v>
      </c>
      <c r="F949">
        <v>4.4660000000000002</v>
      </c>
      <c r="G949">
        <v>1442</v>
      </c>
      <c r="H949">
        <v>16</v>
      </c>
      <c r="I949">
        <v>14</v>
      </c>
      <c r="J949">
        <v>-14</v>
      </c>
      <c r="K949">
        <v>-14</v>
      </c>
      <c r="L949">
        <v>0</v>
      </c>
      <c r="O949" s="2" t="str" cm="1">
        <f t="array" ref="O94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49" s="2" t="str" cm="1">
        <f t="array" ref="P949">_xlfn.IFS(Computed_insight___Success_of_active_sellers__2[[#This Row],[rating]]&gt;=4.5, "Excellent ", Computed_insight___Success_of_active_sellers__2[[#This Row],[rating]]&gt;=4, "Good ", Computed_insight___Success_of_active_sellers__2[[#This Row],[rating]]&gt;=3.5, "Average", TRUE, "Poor ")</f>
        <v xml:space="preserve">Good </v>
      </c>
      <c r="Q949" s="2" t="str" cm="1">
        <f t="array" ref="Q949">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49" s="2" t="str">
        <f>IF(Computed_insight___Success_of_active_sellers__2[[#This Row],[totalurgencycount]]&gt;0, "Has Banner", "No Banner")</f>
        <v>No Banner</v>
      </c>
    </row>
    <row r="950" spans="1:18" x14ac:dyDescent="0.3">
      <c r="A950">
        <v>948</v>
      </c>
      <c r="B950" t="s">
        <v>804</v>
      </c>
      <c r="C950">
        <v>1</v>
      </c>
      <c r="D950">
        <v>10</v>
      </c>
      <c r="E950">
        <v>10</v>
      </c>
      <c r="F950">
        <v>4.5010000000000003</v>
      </c>
      <c r="G950">
        <v>2038</v>
      </c>
      <c r="H950">
        <v>18</v>
      </c>
      <c r="I950">
        <v>59</v>
      </c>
      <c r="J950">
        <v>70</v>
      </c>
      <c r="K950">
        <v>70</v>
      </c>
      <c r="L950">
        <v>6</v>
      </c>
      <c r="O950" s="2" t="str" cm="1">
        <f t="array" ref="O950">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50" s="2" t="str" cm="1">
        <f t="array" ref="P950">_xlfn.IFS(Computed_insight___Success_of_active_sellers__2[[#This Row],[rating]]&gt;=4.5, "Excellent ", Computed_insight___Success_of_active_sellers__2[[#This Row],[rating]]&gt;=4, "Good ", Computed_insight___Success_of_active_sellers__2[[#This Row],[rating]]&gt;=3.5, "Average", TRUE, "Poor ")</f>
        <v xml:space="preserve">Excellent </v>
      </c>
      <c r="Q950" s="2" t="str" cm="1">
        <f t="array" ref="Q950">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50" s="2" t="str">
        <f>IF(Computed_insight___Success_of_active_sellers__2[[#This Row],[totalurgencycount]]&gt;0, "Has Banner", "No Banner")</f>
        <v>No Banner</v>
      </c>
    </row>
    <row r="951" spans="1:18" x14ac:dyDescent="0.3">
      <c r="A951">
        <v>949</v>
      </c>
      <c r="B951" t="s">
        <v>109</v>
      </c>
      <c r="C951">
        <v>1</v>
      </c>
      <c r="D951">
        <v>10</v>
      </c>
      <c r="E951">
        <v>10</v>
      </c>
      <c r="F951">
        <v>4.5129999999999999</v>
      </c>
      <c r="G951">
        <v>160</v>
      </c>
      <c r="H951">
        <v>5.68</v>
      </c>
      <c r="I951">
        <v>5</v>
      </c>
      <c r="J951">
        <v>-13</v>
      </c>
      <c r="K951">
        <v>-13</v>
      </c>
      <c r="L951">
        <v>2</v>
      </c>
      <c r="O951" s="2" t="str" cm="1">
        <f t="array" ref="O951">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51" s="2" t="str" cm="1">
        <f t="array" ref="P951">_xlfn.IFS(Computed_insight___Success_of_active_sellers__2[[#This Row],[rating]]&gt;=4.5, "Excellent ", Computed_insight___Success_of_active_sellers__2[[#This Row],[rating]]&gt;=4, "Good ", Computed_insight___Success_of_active_sellers__2[[#This Row],[rating]]&gt;=3.5, "Average", TRUE, "Poor ")</f>
        <v xml:space="preserve">Excellent </v>
      </c>
      <c r="Q951" s="2" t="str" cm="1">
        <f t="array" ref="Q951">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51" s="2" t="str">
        <f>IF(Computed_insight___Success_of_active_sellers__2[[#This Row],[totalurgencycount]]&gt;0, "Has Banner", "No Banner")</f>
        <v>No Banner</v>
      </c>
    </row>
    <row r="952" spans="1:18" x14ac:dyDescent="0.3">
      <c r="A952">
        <v>950</v>
      </c>
      <c r="B952" t="s">
        <v>765</v>
      </c>
      <c r="C952">
        <v>1</v>
      </c>
      <c r="D952">
        <v>8</v>
      </c>
      <c r="E952">
        <v>8</v>
      </c>
      <c r="F952">
        <v>3.9489999999999998</v>
      </c>
      <c r="G952">
        <v>53225</v>
      </c>
      <c r="H952">
        <v>7</v>
      </c>
      <c r="I952">
        <v>31</v>
      </c>
      <c r="J952">
        <v>78</v>
      </c>
      <c r="K952">
        <v>78</v>
      </c>
      <c r="L952">
        <v>0</v>
      </c>
      <c r="O952" s="2" t="str" cm="1">
        <f t="array" ref="O952">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52" s="2" t="str" cm="1">
        <f t="array" ref="P952">_xlfn.IFS(Computed_insight___Success_of_active_sellers__2[[#This Row],[rating]]&gt;=4.5, "Excellent ", Computed_insight___Success_of_active_sellers__2[[#This Row],[rating]]&gt;=4, "Good ", Computed_insight___Success_of_active_sellers__2[[#This Row],[rating]]&gt;=3.5, "Average", TRUE, "Poor ")</f>
        <v>Average</v>
      </c>
      <c r="Q952" s="2" t="str" cm="1">
        <f t="array" ref="Q952">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52" s="2" t="str">
        <f>IF(Computed_insight___Success_of_active_sellers__2[[#This Row],[totalurgencycount]]&gt;0, "Has Banner", "No Banner")</f>
        <v>No Banner</v>
      </c>
    </row>
    <row r="953" spans="1:18" x14ac:dyDescent="0.3">
      <c r="A953">
        <v>951</v>
      </c>
      <c r="B953" t="s">
        <v>594</v>
      </c>
      <c r="C953">
        <v>1</v>
      </c>
      <c r="D953">
        <v>7</v>
      </c>
      <c r="E953">
        <v>7</v>
      </c>
      <c r="F953">
        <v>4.2489999999999997</v>
      </c>
      <c r="G953">
        <v>6348</v>
      </c>
      <c r="H953">
        <v>8</v>
      </c>
      <c r="I953">
        <v>55</v>
      </c>
      <c r="J953">
        <v>86</v>
      </c>
      <c r="K953">
        <v>86</v>
      </c>
      <c r="L953">
        <v>1</v>
      </c>
      <c r="O953" s="2" t="str" cm="1">
        <f t="array" ref="O953">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53" s="2" t="str" cm="1">
        <f t="array" ref="P953">_xlfn.IFS(Computed_insight___Success_of_active_sellers__2[[#This Row],[rating]]&gt;=4.5, "Excellent ", Computed_insight___Success_of_active_sellers__2[[#This Row],[rating]]&gt;=4, "Good ", Computed_insight___Success_of_active_sellers__2[[#This Row],[rating]]&gt;=3.5, "Average", TRUE, "Poor ")</f>
        <v xml:space="preserve">Good </v>
      </c>
      <c r="Q953" s="2" t="str" cm="1">
        <f t="array" ref="Q953">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53" s="2" t="str">
        <f>IF(Computed_insight___Success_of_active_sellers__2[[#This Row],[totalurgencycount]]&gt;0, "Has Banner", "No Banner")</f>
        <v>No Banner</v>
      </c>
    </row>
    <row r="954" spans="1:18" x14ac:dyDescent="0.3">
      <c r="A954">
        <v>952</v>
      </c>
      <c r="B954" t="s">
        <v>526</v>
      </c>
      <c r="C954">
        <v>1</v>
      </c>
      <c r="D954">
        <v>3</v>
      </c>
      <c r="E954">
        <v>3</v>
      </c>
      <c r="F954">
        <v>3.9910000000000001</v>
      </c>
      <c r="G954">
        <v>11378</v>
      </c>
      <c r="H954">
        <v>4.8099999999999996</v>
      </c>
      <c r="I954">
        <v>30</v>
      </c>
      <c r="J954">
        <v>84</v>
      </c>
      <c r="K954">
        <v>84</v>
      </c>
      <c r="L954">
        <v>0</v>
      </c>
      <c r="O954" s="2" t="str" cm="1">
        <f t="array" ref="O954">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54" s="2" t="str" cm="1">
        <f t="array" ref="P954">_xlfn.IFS(Computed_insight___Success_of_active_sellers__2[[#This Row],[rating]]&gt;=4.5, "Excellent ", Computed_insight___Success_of_active_sellers__2[[#This Row],[rating]]&gt;=4, "Good ", Computed_insight___Success_of_active_sellers__2[[#This Row],[rating]]&gt;=3.5, "Average", TRUE, "Poor ")</f>
        <v>Average</v>
      </c>
      <c r="Q954" s="2" t="str" cm="1">
        <f t="array" ref="Q954">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54" s="2" t="str">
        <f>IF(Computed_insight___Success_of_active_sellers__2[[#This Row],[totalurgencycount]]&gt;0, "Has Banner", "No Banner")</f>
        <v>No Banner</v>
      </c>
    </row>
    <row r="955" spans="1:18" x14ac:dyDescent="0.3">
      <c r="A955">
        <v>953</v>
      </c>
      <c r="B955" t="s">
        <v>295</v>
      </c>
      <c r="C955">
        <v>1</v>
      </c>
      <c r="D955">
        <v>2</v>
      </c>
      <c r="E955">
        <v>2</v>
      </c>
      <c r="F955">
        <v>3.9990000000000001</v>
      </c>
      <c r="G955">
        <v>21307</v>
      </c>
      <c r="H955">
        <v>11</v>
      </c>
      <c r="I955">
        <v>10</v>
      </c>
      <c r="J955">
        <v>-10</v>
      </c>
      <c r="K955">
        <v>-10</v>
      </c>
      <c r="L955">
        <v>1</v>
      </c>
      <c r="O955" s="2" t="str" cm="1">
        <f t="array" ref="O955">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55" s="2" t="str" cm="1">
        <f t="array" ref="P955">_xlfn.IFS(Computed_insight___Success_of_active_sellers__2[[#This Row],[rating]]&gt;=4.5, "Excellent ", Computed_insight___Success_of_active_sellers__2[[#This Row],[rating]]&gt;=4, "Good ", Computed_insight___Success_of_active_sellers__2[[#This Row],[rating]]&gt;=3.5, "Average", TRUE, "Poor ")</f>
        <v>Average</v>
      </c>
      <c r="Q955" s="2" t="str" cm="1">
        <f t="array" ref="Q955">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55" s="2" t="str">
        <f>IF(Computed_insight___Success_of_active_sellers__2[[#This Row],[totalurgencycount]]&gt;0, "Has Banner", "No Banner")</f>
        <v>No Banner</v>
      </c>
    </row>
    <row r="956" spans="1:18" x14ac:dyDescent="0.3">
      <c r="A956">
        <v>954</v>
      </c>
      <c r="B956" t="s">
        <v>578</v>
      </c>
      <c r="C956">
        <v>1</v>
      </c>
      <c r="D956">
        <v>2</v>
      </c>
      <c r="E956">
        <v>2</v>
      </c>
      <c r="F956">
        <v>4.3029999999999999</v>
      </c>
      <c r="G956">
        <v>693</v>
      </c>
      <c r="H956">
        <v>16</v>
      </c>
      <c r="I956">
        <v>16</v>
      </c>
      <c r="J956">
        <v>0</v>
      </c>
      <c r="K956">
        <v>0</v>
      </c>
      <c r="L956">
        <v>0</v>
      </c>
      <c r="O956" s="2" t="str" cm="1">
        <f t="array" ref="O956">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56" s="2" t="str" cm="1">
        <f t="array" ref="P956">_xlfn.IFS(Computed_insight___Success_of_active_sellers__2[[#This Row],[rating]]&gt;=4.5, "Excellent ", Computed_insight___Success_of_active_sellers__2[[#This Row],[rating]]&gt;=4, "Good ", Computed_insight___Success_of_active_sellers__2[[#This Row],[rating]]&gt;=3.5, "Average", TRUE, "Poor ")</f>
        <v xml:space="preserve">Good </v>
      </c>
      <c r="Q956" s="2" t="str" cm="1">
        <f t="array" ref="Q956">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56" s="2" t="str">
        <f>IF(Computed_insight___Success_of_active_sellers__2[[#This Row],[totalurgencycount]]&gt;0, "Has Banner", "No Banner")</f>
        <v>No Banner</v>
      </c>
    </row>
    <row r="957" spans="1:18" x14ac:dyDescent="0.3">
      <c r="A957">
        <v>955</v>
      </c>
      <c r="B957" t="s">
        <v>119</v>
      </c>
      <c r="C957">
        <v>1</v>
      </c>
      <c r="D957">
        <v>1</v>
      </c>
      <c r="E957">
        <v>1</v>
      </c>
      <c r="F957">
        <v>3.5979999999999999</v>
      </c>
      <c r="G957">
        <v>378</v>
      </c>
      <c r="H957">
        <v>2.72</v>
      </c>
      <c r="I957">
        <v>9</v>
      </c>
      <c r="J957">
        <v>70</v>
      </c>
      <c r="K957">
        <v>70</v>
      </c>
      <c r="L957">
        <v>0</v>
      </c>
      <c r="O957" s="2" t="str" cm="1">
        <f t="array" ref="O957">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57" s="2" t="str" cm="1">
        <f t="array" ref="P957">_xlfn.IFS(Computed_insight___Success_of_active_sellers__2[[#This Row],[rating]]&gt;=4.5, "Excellent ", Computed_insight___Success_of_active_sellers__2[[#This Row],[rating]]&gt;=4, "Good ", Computed_insight___Success_of_active_sellers__2[[#This Row],[rating]]&gt;=3.5, "Average", TRUE, "Poor ")</f>
        <v>Average</v>
      </c>
      <c r="Q957" s="2" t="str" cm="1">
        <f t="array" ref="Q957">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57" s="2" t="str">
        <f>IF(Computed_insight___Success_of_active_sellers__2[[#This Row],[totalurgencycount]]&gt;0, "Has Banner", "No Banner")</f>
        <v>No Banner</v>
      </c>
    </row>
    <row r="958" spans="1:18" x14ac:dyDescent="0.3">
      <c r="A958">
        <v>956</v>
      </c>
      <c r="B958" t="s">
        <v>935</v>
      </c>
      <c r="C958">
        <v>1</v>
      </c>
      <c r="D958">
        <v>1</v>
      </c>
      <c r="E958">
        <v>1</v>
      </c>
      <c r="F958">
        <v>3.956</v>
      </c>
      <c r="G958">
        <v>1134</v>
      </c>
      <c r="H958">
        <v>14</v>
      </c>
      <c r="I958">
        <v>14</v>
      </c>
      <c r="J958">
        <v>0</v>
      </c>
      <c r="K958">
        <v>0</v>
      </c>
      <c r="L958">
        <v>0</v>
      </c>
      <c r="O958" s="2" t="str" cm="1">
        <f t="array" ref="O958">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58" s="2" t="str" cm="1">
        <f t="array" ref="P958">_xlfn.IFS(Computed_insight___Success_of_active_sellers__2[[#This Row],[rating]]&gt;=4.5, "Excellent ", Computed_insight___Success_of_active_sellers__2[[#This Row],[rating]]&gt;=4, "Good ", Computed_insight___Success_of_active_sellers__2[[#This Row],[rating]]&gt;=3.5, "Average", TRUE, "Poor ")</f>
        <v>Average</v>
      </c>
      <c r="Q958" s="2" t="str" cm="1">
        <f t="array" ref="Q958">_xlfn.IFS(Computed_insight___Success_of_active_sellers__2[[#This Row],[meandiscount]]&gt;50, "High ", Computed_insight___Success_of_active_sellers__2[[#This Row],[meandiscount]]&gt;25, "Medium ", Computed_insight___Success_of_active_sellers__2[[#This Row],[meandiscount]]&gt;0, "Low ", TRUE, "No Discount")</f>
        <v>No Discount</v>
      </c>
      <c r="R958" s="2" t="str">
        <f>IF(Computed_insight___Success_of_active_sellers__2[[#This Row],[totalurgencycount]]&gt;0, "Has Banner", "No Banner")</f>
        <v>No Banner</v>
      </c>
    </row>
    <row r="959" spans="1:18" x14ac:dyDescent="0.3">
      <c r="A959">
        <v>957</v>
      </c>
      <c r="B959" t="s">
        <v>303</v>
      </c>
      <c r="C959">
        <v>1</v>
      </c>
      <c r="D959">
        <v>1</v>
      </c>
      <c r="E959">
        <v>1</v>
      </c>
      <c r="F959">
        <v>4.0069999999999997</v>
      </c>
      <c r="G959">
        <v>1380</v>
      </c>
      <c r="H959">
        <v>11</v>
      </c>
      <c r="I959">
        <v>30</v>
      </c>
      <c r="J959">
        <v>64</v>
      </c>
      <c r="K959">
        <v>64</v>
      </c>
      <c r="L959">
        <v>0</v>
      </c>
      <c r="O959" s="2" t="str" cm="1">
        <f t="array" ref="O959">_xlfn.IFS(Computed_insight___Success_of_active_sellers__2[[#This Row],[totalunitssold]]&gt;=20000, "Platinum ", Computed_insight___Success_of_active_sellers__2[[#This Row],[totalunitssold]]&gt;=5000, "Gold ", Computed_insight___Success_of_active_sellers__2[[#This Row],[totalunitssold]]&gt;=100, "Silver ", TRUE, "Bronze ")</f>
        <v xml:space="preserve">Bronze </v>
      </c>
      <c r="P959" s="2" t="str" cm="1">
        <f t="array" ref="P959">_xlfn.IFS(Computed_insight___Success_of_active_sellers__2[[#This Row],[rating]]&gt;=4.5, "Excellent ", Computed_insight___Success_of_active_sellers__2[[#This Row],[rating]]&gt;=4, "Good ", Computed_insight___Success_of_active_sellers__2[[#This Row],[rating]]&gt;=3.5, "Average", TRUE, "Poor ")</f>
        <v xml:space="preserve">Good </v>
      </c>
      <c r="Q959" s="2" t="str" cm="1">
        <f t="array" ref="Q959">_xlfn.IFS(Computed_insight___Success_of_active_sellers__2[[#This Row],[meandiscount]]&gt;50, "High ", Computed_insight___Success_of_active_sellers__2[[#This Row],[meandiscount]]&gt;25, "Medium ", Computed_insight___Success_of_active_sellers__2[[#This Row],[meandiscount]]&gt;0, "Low ", TRUE, "No Discount")</f>
        <v xml:space="preserve">High </v>
      </c>
      <c r="R959" s="2" t="str">
        <f>IF(Computed_insight___Success_of_active_sellers__2[[#This Row],[totalurgencycount]]&gt;0, "Has Banner", "No Banner")</f>
        <v>No Banner</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D231A-D033-416C-9D1C-3594E18992C8}">
  <dimension ref="A1:K16"/>
  <sheetViews>
    <sheetView workbookViewId="0">
      <selection activeCell="C1" sqref="C1"/>
    </sheetView>
  </sheetViews>
  <sheetFormatPr defaultRowHeight="14.4" x14ac:dyDescent="0.3"/>
  <cols>
    <col min="1" max="1" width="16.109375" bestFit="1" customWidth="1"/>
    <col min="2" max="2" width="19.109375" bestFit="1" customWidth="1"/>
    <col min="3" max="3" width="18.6640625" bestFit="1" customWidth="1"/>
  </cols>
  <sheetData>
    <row r="1" spans="1:11" x14ac:dyDescent="0.3">
      <c r="A1" s="3" t="s">
        <v>972</v>
      </c>
      <c r="B1" t="s">
        <v>981</v>
      </c>
      <c r="C1" t="s">
        <v>982</v>
      </c>
    </row>
    <row r="2" spans="1:11" x14ac:dyDescent="0.3">
      <c r="A2" s="4" t="s">
        <v>978</v>
      </c>
      <c r="B2">
        <v>4660633</v>
      </c>
      <c r="C2">
        <v>135</v>
      </c>
      <c r="E2" s="16"/>
      <c r="F2" s="16"/>
      <c r="G2" s="16"/>
      <c r="H2" s="16"/>
      <c r="I2" s="16"/>
      <c r="J2" s="16"/>
      <c r="K2" s="16"/>
    </row>
    <row r="3" spans="1:11" x14ac:dyDescent="0.3">
      <c r="A3" s="4" t="s">
        <v>977</v>
      </c>
      <c r="B3">
        <v>1812180</v>
      </c>
      <c r="C3">
        <v>229</v>
      </c>
      <c r="E3" s="16"/>
      <c r="F3" s="16"/>
      <c r="G3" s="16"/>
      <c r="H3" s="16"/>
      <c r="I3" s="16"/>
      <c r="J3" s="16"/>
      <c r="K3" s="16"/>
    </row>
    <row r="4" spans="1:11" x14ac:dyDescent="0.3">
      <c r="A4" s="4" t="s">
        <v>979</v>
      </c>
      <c r="B4">
        <v>350923</v>
      </c>
      <c r="C4">
        <v>533</v>
      </c>
      <c r="E4" s="16"/>
      <c r="F4" s="16"/>
      <c r="G4" s="16"/>
      <c r="H4" s="16"/>
      <c r="I4" s="16"/>
      <c r="J4" s="16"/>
      <c r="K4" s="16"/>
    </row>
    <row r="5" spans="1:11" x14ac:dyDescent="0.3">
      <c r="A5" s="4" t="s">
        <v>976</v>
      </c>
      <c r="B5">
        <v>1519</v>
      </c>
      <c r="C5">
        <v>61</v>
      </c>
      <c r="E5" s="16"/>
      <c r="F5" s="16"/>
      <c r="G5" s="16"/>
      <c r="H5" s="16"/>
      <c r="I5" s="16"/>
      <c r="J5" s="16"/>
      <c r="K5" s="16"/>
    </row>
    <row r="6" spans="1:11" x14ac:dyDescent="0.3">
      <c r="A6" s="4" t="s">
        <v>980</v>
      </c>
      <c r="B6">
        <v>6825255</v>
      </c>
      <c r="C6">
        <v>958</v>
      </c>
      <c r="E6" s="16"/>
      <c r="F6" s="16"/>
      <c r="G6" s="16"/>
      <c r="H6" s="16"/>
      <c r="I6" s="16"/>
      <c r="J6" s="16"/>
      <c r="K6" s="16"/>
    </row>
    <row r="7" spans="1:11" x14ac:dyDescent="0.3">
      <c r="E7" s="16"/>
      <c r="F7" s="16"/>
      <c r="G7" s="16"/>
      <c r="H7" s="16"/>
      <c r="I7" s="16"/>
      <c r="J7" s="16"/>
      <c r="K7" s="16"/>
    </row>
    <row r="8" spans="1:11" x14ac:dyDescent="0.3">
      <c r="E8" s="16"/>
      <c r="F8" s="16"/>
      <c r="G8" s="16"/>
      <c r="H8" s="16"/>
      <c r="I8" s="16"/>
      <c r="J8" s="16"/>
      <c r="K8" s="16"/>
    </row>
    <row r="9" spans="1:11" x14ac:dyDescent="0.3">
      <c r="E9" s="16"/>
      <c r="F9" s="16"/>
      <c r="G9" s="16"/>
      <c r="H9" s="16"/>
      <c r="I9" s="16"/>
      <c r="J9" s="16"/>
      <c r="K9" s="16"/>
    </row>
    <row r="10" spans="1:11" x14ac:dyDescent="0.3">
      <c r="E10" s="16"/>
      <c r="F10" s="16"/>
      <c r="G10" s="16"/>
      <c r="H10" s="16"/>
      <c r="I10" s="16"/>
      <c r="J10" s="16"/>
      <c r="K10" s="16"/>
    </row>
    <row r="11" spans="1:11" x14ac:dyDescent="0.3">
      <c r="E11" s="16"/>
      <c r="F11" s="16"/>
      <c r="G11" s="16"/>
      <c r="H11" s="16"/>
      <c r="I11" s="16"/>
      <c r="J11" s="16"/>
      <c r="K11" s="16"/>
    </row>
    <row r="12" spans="1:11" x14ac:dyDescent="0.3">
      <c r="E12" s="16"/>
      <c r="F12" s="16"/>
      <c r="G12" s="16"/>
      <c r="H12" s="16"/>
      <c r="I12" s="16"/>
      <c r="J12" s="16"/>
      <c r="K12" s="16"/>
    </row>
    <row r="13" spans="1:11" x14ac:dyDescent="0.3">
      <c r="E13" s="16"/>
      <c r="F13" s="16"/>
      <c r="G13" s="16"/>
      <c r="H13" s="16"/>
      <c r="I13" s="16"/>
      <c r="J13" s="16"/>
      <c r="K13" s="16"/>
    </row>
    <row r="14" spans="1:11" x14ac:dyDescent="0.3">
      <c r="E14" s="16"/>
      <c r="F14" s="16"/>
      <c r="G14" s="16"/>
      <c r="H14" s="16"/>
      <c r="I14" s="16"/>
      <c r="J14" s="16"/>
      <c r="K14" s="16"/>
    </row>
    <row r="15" spans="1:11" x14ac:dyDescent="0.3">
      <c r="E15" s="16"/>
      <c r="F15" s="16"/>
      <c r="G15" s="16"/>
      <c r="H15" s="16"/>
      <c r="I15" s="16"/>
      <c r="J15" s="16"/>
      <c r="K15" s="16"/>
    </row>
    <row r="16" spans="1:11" x14ac:dyDescent="0.3">
      <c r="E16" s="16"/>
      <c r="F16" s="16"/>
      <c r="G16" s="16"/>
      <c r="H16" s="16"/>
      <c r="I16" s="16"/>
      <c r="J16" s="16"/>
      <c r="K16" s="16"/>
    </row>
  </sheetData>
  <mergeCells count="1">
    <mergeCell ref="E2:K16"/>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6FF79-9D39-4964-80F4-3C85CB928A88}">
  <dimension ref="A1:J17"/>
  <sheetViews>
    <sheetView workbookViewId="0">
      <selection activeCell="A2" sqref="A2"/>
    </sheetView>
  </sheetViews>
  <sheetFormatPr defaultRowHeight="14.4" x14ac:dyDescent="0.3"/>
  <cols>
    <col min="1" max="1" width="19.21875" bestFit="1" customWidth="1"/>
    <col min="2" max="2" width="32.88671875" bestFit="1" customWidth="1"/>
  </cols>
  <sheetData>
    <row r="1" spans="1:10" x14ac:dyDescent="0.3">
      <c r="A1" s="3" t="s">
        <v>994</v>
      </c>
      <c r="B1" t="s">
        <v>987</v>
      </c>
    </row>
    <row r="2" spans="1:10" x14ac:dyDescent="0.3">
      <c r="A2" s="4" t="s">
        <v>983</v>
      </c>
      <c r="B2">
        <v>4580.469879518072</v>
      </c>
    </row>
    <row r="3" spans="1:10" x14ac:dyDescent="0.3">
      <c r="A3" s="4" t="s">
        <v>984</v>
      </c>
      <c r="B3">
        <v>3916.7326732673268</v>
      </c>
      <c r="D3" s="16"/>
      <c r="E3" s="16"/>
      <c r="F3" s="16"/>
      <c r="G3" s="16"/>
      <c r="H3" s="16"/>
      <c r="I3" s="16"/>
      <c r="J3" s="16"/>
    </row>
    <row r="4" spans="1:10" x14ac:dyDescent="0.3">
      <c r="A4" s="4" t="s">
        <v>985</v>
      </c>
      <c r="B4">
        <v>4122.4102564102568</v>
      </c>
      <c r="D4" s="16"/>
      <c r="E4" s="16"/>
      <c r="F4" s="16"/>
      <c r="G4" s="16"/>
      <c r="H4" s="16"/>
      <c r="I4" s="16"/>
      <c r="J4" s="16"/>
    </row>
    <row r="5" spans="1:10" x14ac:dyDescent="0.3">
      <c r="A5" s="4" t="s">
        <v>986</v>
      </c>
      <c r="B5">
        <v>4470.2401960784309</v>
      </c>
      <c r="D5" s="16"/>
      <c r="E5" s="16"/>
      <c r="F5" s="16"/>
      <c r="G5" s="16"/>
      <c r="H5" s="16"/>
      <c r="I5" s="16"/>
      <c r="J5" s="16"/>
    </row>
    <row r="6" spans="1:10" x14ac:dyDescent="0.3">
      <c r="A6" s="4" t="s">
        <v>980</v>
      </c>
      <c r="B6">
        <v>4407.6054279749478</v>
      </c>
      <c r="D6" s="16"/>
      <c r="E6" s="16"/>
      <c r="F6" s="16"/>
      <c r="G6" s="16"/>
      <c r="H6" s="16"/>
      <c r="I6" s="16"/>
      <c r="J6" s="16"/>
    </row>
    <row r="7" spans="1:10" x14ac:dyDescent="0.3">
      <c r="D7" s="16"/>
      <c r="E7" s="16"/>
      <c r="F7" s="16"/>
      <c r="G7" s="16"/>
      <c r="H7" s="16"/>
      <c r="I7" s="16"/>
      <c r="J7" s="16"/>
    </row>
    <row r="8" spans="1:10" x14ac:dyDescent="0.3">
      <c r="D8" s="16"/>
      <c r="E8" s="16"/>
      <c r="F8" s="16"/>
      <c r="G8" s="16"/>
      <c r="H8" s="16"/>
      <c r="I8" s="16"/>
      <c r="J8" s="16"/>
    </row>
    <row r="9" spans="1:10" x14ac:dyDescent="0.3">
      <c r="D9" s="16"/>
      <c r="E9" s="16"/>
      <c r="F9" s="16"/>
      <c r="G9" s="16"/>
      <c r="H9" s="16"/>
      <c r="I9" s="16"/>
      <c r="J9" s="16"/>
    </row>
    <row r="10" spans="1:10" x14ac:dyDescent="0.3">
      <c r="D10" s="16"/>
      <c r="E10" s="16"/>
      <c r="F10" s="16"/>
      <c r="G10" s="16"/>
      <c r="H10" s="16"/>
      <c r="I10" s="16"/>
      <c r="J10" s="16"/>
    </row>
    <row r="11" spans="1:10" x14ac:dyDescent="0.3">
      <c r="D11" s="16"/>
      <c r="E11" s="16"/>
      <c r="F11" s="16"/>
      <c r="G11" s="16"/>
      <c r="H11" s="16"/>
      <c r="I11" s="16"/>
      <c r="J11" s="16"/>
    </row>
    <row r="12" spans="1:10" x14ac:dyDescent="0.3">
      <c r="D12" s="16"/>
      <c r="E12" s="16"/>
      <c r="F12" s="16"/>
      <c r="G12" s="16"/>
      <c r="H12" s="16"/>
      <c r="I12" s="16"/>
      <c r="J12" s="16"/>
    </row>
    <row r="13" spans="1:10" x14ac:dyDescent="0.3">
      <c r="D13" s="16"/>
      <c r="E13" s="16"/>
      <c r="F13" s="16"/>
      <c r="G13" s="16"/>
      <c r="H13" s="16"/>
      <c r="I13" s="16"/>
      <c r="J13" s="16"/>
    </row>
    <row r="14" spans="1:10" x14ac:dyDescent="0.3">
      <c r="D14" s="16"/>
      <c r="E14" s="16"/>
      <c r="F14" s="16"/>
      <c r="G14" s="16"/>
      <c r="H14" s="16"/>
      <c r="I14" s="16"/>
      <c r="J14" s="16"/>
    </row>
    <row r="15" spans="1:10" x14ac:dyDescent="0.3">
      <c r="D15" s="16"/>
      <c r="E15" s="16"/>
      <c r="F15" s="16"/>
      <c r="G15" s="16"/>
      <c r="H15" s="16"/>
      <c r="I15" s="16"/>
      <c r="J15" s="16"/>
    </row>
    <row r="16" spans="1:10" x14ac:dyDescent="0.3">
      <c r="D16" s="16"/>
      <c r="E16" s="16"/>
      <c r="F16" s="16"/>
      <c r="G16" s="16"/>
      <c r="H16" s="16"/>
      <c r="I16" s="16"/>
      <c r="J16" s="16"/>
    </row>
    <row r="17" spans="4:10" x14ac:dyDescent="0.3">
      <c r="D17" s="16"/>
      <c r="E17" s="16"/>
      <c r="F17" s="16"/>
      <c r="G17" s="16"/>
      <c r="H17" s="16"/>
      <c r="I17" s="16"/>
      <c r="J17" s="16"/>
    </row>
  </sheetData>
  <mergeCells count="1">
    <mergeCell ref="D3:J17"/>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837EC-0A65-416F-A573-2F0A80167C3E}">
  <dimension ref="A1:L18"/>
  <sheetViews>
    <sheetView workbookViewId="0">
      <selection activeCell="B1" sqref="A1:C1"/>
    </sheetView>
  </sheetViews>
  <sheetFormatPr defaultRowHeight="14.4" x14ac:dyDescent="0.3"/>
  <cols>
    <col min="1" max="1" width="16.33203125" bestFit="1" customWidth="1"/>
    <col min="2" max="2" width="22.33203125" bestFit="1" customWidth="1"/>
    <col min="3" max="3" width="15.5546875" bestFit="1" customWidth="1"/>
  </cols>
  <sheetData>
    <row r="1" spans="1:12" x14ac:dyDescent="0.3">
      <c r="A1" s="3" t="s">
        <v>975</v>
      </c>
      <c r="B1" t="s">
        <v>990</v>
      </c>
      <c r="C1" t="s">
        <v>991</v>
      </c>
    </row>
    <row r="2" spans="1:12" x14ac:dyDescent="0.3">
      <c r="A2" s="4" t="s">
        <v>988</v>
      </c>
      <c r="B2">
        <v>9345.7800511508958</v>
      </c>
      <c r="C2">
        <v>4.0397902813299194</v>
      </c>
      <c r="E2" s="16"/>
      <c r="F2" s="16"/>
      <c r="G2" s="16"/>
      <c r="H2" s="16"/>
      <c r="I2" s="16"/>
      <c r="J2" s="16"/>
      <c r="K2" s="16"/>
      <c r="L2" s="16"/>
    </row>
    <row r="3" spans="1:12" x14ac:dyDescent="0.3">
      <c r="A3" s="4" t="s">
        <v>989</v>
      </c>
      <c r="B3">
        <v>5592.6895943562613</v>
      </c>
      <c r="C3">
        <v>4.0468924162257487</v>
      </c>
      <c r="E3" s="16"/>
      <c r="F3" s="16"/>
      <c r="G3" s="16"/>
      <c r="H3" s="16"/>
      <c r="I3" s="16"/>
      <c r="J3" s="16"/>
      <c r="K3" s="16"/>
      <c r="L3" s="16"/>
    </row>
    <row r="4" spans="1:12" x14ac:dyDescent="0.3">
      <c r="A4" s="4" t="s">
        <v>980</v>
      </c>
      <c r="B4">
        <v>7124.483298538622</v>
      </c>
      <c r="C4">
        <v>4.0439937369519807</v>
      </c>
      <c r="E4" s="16"/>
      <c r="F4" s="16"/>
      <c r="G4" s="16"/>
      <c r="H4" s="16"/>
      <c r="I4" s="16"/>
      <c r="J4" s="16"/>
      <c r="K4" s="16"/>
      <c r="L4" s="16"/>
    </row>
    <row r="5" spans="1:12" x14ac:dyDescent="0.3">
      <c r="E5" s="16"/>
      <c r="F5" s="16"/>
      <c r="G5" s="16"/>
      <c r="H5" s="16"/>
      <c r="I5" s="16"/>
      <c r="J5" s="16"/>
      <c r="K5" s="16"/>
      <c r="L5" s="16"/>
    </row>
    <row r="6" spans="1:12" x14ac:dyDescent="0.3">
      <c r="E6" s="16"/>
      <c r="F6" s="16"/>
      <c r="G6" s="16"/>
      <c r="H6" s="16"/>
      <c r="I6" s="16"/>
      <c r="J6" s="16"/>
      <c r="K6" s="16"/>
      <c r="L6" s="16"/>
    </row>
    <row r="7" spans="1:12" x14ac:dyDescent="0.3">
      <c r="E7" s="16"/>
      <c r="F7" s="16"/>
      <c r="G7" s="16"/>
      <c r="H7" s="16"/>
      <c r="I7" s="16"/>
      <c r="J7" s="16"/>
      <c r="K7" s="16"/>
      <c r="L7" s="16"/>
    </row>
    <row r="8" spans="1:12" x14ac:dyDescent="0.3">
      <c r="E8" s="16"/>
      <c r="F8" s="16"/>
      <c r="G8" s="16"/>
      <c r="H8" s="16"/>
      <c r="I8" s="16"/>
      <c r="J8" s="16"/>
      <c r="K8" s="16"/>
      <c r="L8" s="16"/>
    </row>
    <row r="9" spans="1:12" x14ac:dyDescent="0.3">
      <c r="E9" s="16"/>
      <c r="F9" s="16"/>
      <c r="G9" s="16"/>
      <c r="H9" s="16"/>
      <c r="I9" s="16"/>
      <c r="J9" s="16"/>
      <c r="K9" s="16"/>
      <c r="L9" s="16"/>
    </row>
    <row r="10" spans="1:12" x14ac:dyDescent="0.3">
      <c r="E10" s="16"/>
      <c r="F10" s="16"/>
      <c r="G10" s="16"/>
      <c r="H10" s="16"/>
      <c r="I10" s="16"/>
      <c r="J10" s="16"/>
      <c r="K10" s="16"/>
      <c r="L10" s="16"/>
    </row>
    <row r="11" spans="1:12" x14ac:dyDescent="0.3">
      <c r="E11" s="16"/>
      <c r="F11" s="16"/>
      <c r="G11" s="16"/>
      <c r="H11" s="16"/>
      <c r="I11" s="16"/>
      <c r="J11" s="16"/>
      <c r="K11" s="16"/>
      <c r="L11" s="16"/>
    </row>
    <row r="12" spans="1:12" x14ac:dyDescent="0.3">
      <c r="E12" s="16"/>
      <c r="F12" s="16"/>
      <c r="G12" s="16"/>
      <c r="H12" s="16"/>
      <c r="I12" s="16"/>
      <c r="J12" s="16"/>
      <c r="K12" s="16"/>
      <c r="L12" s="16"/>
    </row>
    <row r="13" spans="1:12" x14ac:dyDescent="0.3">
      <c r="E13" s="16"/>
      <c r="F13" s="16"/>
      <c r="G13" s="16"/>
      <c r="H13" s="16"/>
      <c r="I13" s="16"/>
      <c r="J13" s="16"/>
      <c r="K13" s="16"/>
      <c r="L13" s="16"/>
    </row>
    <row r="14" spans="1:12" x14ac:dyDescent="0.3">
      <c r="E14" s="16"/>
      <c r="F14" s="16"/>
      <c r="G14" s="16"/>
      <c r="H14" s="16"/>
      <c r="I14" s="16"/>
      <c r="J14" s="16"/>
      <c r="K14" s="16"/>
      <c r="L14" s="16"/>
    </row>
    <row r="15" spans="1:12" x14ac:dyDescent="0.3">
      <c r="E15" s="16"/>
      <c r="F15" s="16"/>
      <c r="G15" s="16"/>
      <c r="H15" s="16"/>
      <c r="I15" s="16"/>
      <c r="J15" s="16"/>
      <c r="K15" s="16"/>
      <c r="L15" s="16"/>
    </row>
    <row r="16" spans="1:12" x14ac:dyDescent="0.3">
      <c r="E16" s="16"/>
      <c r="F16" s="16"/>
      <c r="G16" s="16"/>
      <c r="H16" s="16"/>
      <c r="I16" s="16"/>
      <c r="J16" s="16"/>
      <c r="K16" s="16"/>
      <c r="L16" s="16"/>
    </row>
    <row r="17" spans="5:12" x14ac:dyDescent="0.3">
      <c r="E17" s="16"/>
      <c r="F17" s="16"/>
      <c r="G17" s="16"/>
      <c r="H17" s="16"/>
      <c r="I17" s="16"/>
      <c r="J17" s="16"/>
      <c r="K17" s="16"/>
      <c r="L17" s="16"/>
    </row>
    <row r="18" spans="5:12" x14ac:dyDescent="0.3">
      <c r="E18" s="16"/>
      <c r="F18" s="16"/>
      <c r="G18" s="16"/>
      <c r="H18" s="16"/>
      <c r="I18" s="16"/>
      <c r="J18" s="16"/>
      <c r="K18" s="16"/>
      <c r="L18" s="16"/>
    </row>
  </sheetData>
  <mergeCells count="1">
    <mergeCell ref="E2:L18"/>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57792-63B9-4DDA-8CA4-B1FDF4A34A27}">
  <dimension ref="A1:D2"/>
  <sheetViews>
    <sheetView workbookViewId="0">
      <selection activeCell="D1" sqref="D1"/>
    </sheetView>
  </sheetViews>
  <sheetFormatPr defaultRowHeight="14.4" x14ac:dyDescent="0.3"/>
  <cols>
    <col min="1" max="1" width="19.109375" bestFit="1" customWidth="1"/>
    <col min="2" max="2" width="15.5546875" bestFit="1" customWidth="1"/>
    <col min="3" max="3" width="22.88671875" bestFit="1" customWidth="1"/>
    <col min="4" max="4" width="18.6640625" bestFit="1" customWidth="1"/>
    <col min="5" max="5" width="20" bestFit="1" customWidth="1"/>
  </cols>
  <sheetData>
    <row r="1" spans="1:4" x14ac:dyDescent="0.3">
      <c r="A1" t="s">
        <v>981</v>
      </c>
      <c r="B1" t="s">
        <v>991</v>
      </c>
      <c r="C1" t="s">
        <v>992</v>
      </c>
      <c r="D1" t="s">
        <v>982</v>
      </c>
    </row>
    <row r="2" spans="1:4" x14ac:dyDescent="0.3">
      <c r="A2">
        <v>6825255</v>
      </c>
      <c r="B2">
        <v>4.0439937369519798</v>
      </c>
      <c r="C2">
        <v>28.698016701461388</v>
      </c>
      <c r="D2">
        <v>958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03937-EDA1-4297-BCF2-4E94B421326A}">
  <dimension ref="A1:M38"/>
  <sheetViews>
    <sheetView showGridLines="0" zoomScale="78" workbookViewId="0">
      <selection activeCell="F32" sqref="F32"/>
    </sheetView>
  </sheetViews>
  <sheetFormatPr defaultColWidth="0" defaultRowHeight="14.4" zeroHeight="1" x14ac:dyDescent="0.3"/>
  <cols>
    <col min="1" max="1" width="23.109375" style="5" customWidth="1"/>
    <col min="2" max="2" width="14.77734375" style="5" customWidth="1"/>
    <col min="3" max="3" width="16.77734375" style="5" bestFit="1" customWidth="1"/>
    <col min="4" max="4" width="18.44140625" style="5" bestFit="1" customWidth="1"/>
    <col min="5" max="5" width="18" style="5" bestFit="1" customWidth="1"/>
    <col min="6" max="13" width="8.88671875" style="5" customWidth="1"/>
    <col min="14" max="16384" width="8.88671875" style="5" hidden="1"/>
  </cols>
  <sheetData>
    <row r="1" spans="1:1" x14ac:dyDescent="0.3"/>
    <row r="2" spans="1:1" x14ac:dyDescent="0.3"/>
    <row r="3" spans="1:1" x14ac:dyDescent="0.3"/>
    <row r="4" spans="1:1" x14ac:dyDescent="0.3"/>
    <row r="5" spans="1:1" x14ac:dyDescent="0.3">
      <c r="A5" s="7" t="s">
        <v>981</v>
      </c>
    </row>
    <row r="6" spans="1:1" x14ac:dyDescent="0.3">
      <c r="A6" s="6">
        <f>GETPIVOTDATA("Sum of totalunitssold",KPY_Summary_Cards!$A$1)</f>
        <v>6825255</v>
      </c>
    </row>
    <row r="7" spans="1:1" x14ac:dyDescent="0.3"/>
    <row r="8" spans="1:1" x14ac:dyDescent="0.3">
      <c r="A8" s="6" t="s">
        <v>991</v>
      </c>
    </row>
    <row r="9" spans="1:1" x14ac:dyDescent="0.3">
      <c r="A9" s="6">
        <f>GETPIVOTDATA("Average of rating",KPY_Summary_Cards!$A$1)</f>
        <v>4.0439937369519798</v>
      </c>
    </row>
    <row r="10" spans="1:1" x14ac:dyDescent="0.3"/>
    <row r="11" spans="1:1" x14ac:dyDescent="0.3">
      <c r="A11" s="6" t="s">
        <v>992</v>
      </c>
    </row>
    <row r="12" spans="1:1" x14ac:dyDescent="0.3">
      <c r="A12" s="6">
        <f>GETPIVOTDATA("Average of meandiscount",KPY_Summary_Cards!$A$1)</f>
        <v>28.698016701461388</v>
      </c>
    </row>
    <row r="13" spans="1:1" x14ac:dyDescent="0.3"/>
    <row r="14" spans="1:1" x14ac:dyDescent="0.3">
      <c r="A14" s="6" t="s">
        <v>982</v>
      </c>
    </row>
    <row r="15" spans="1:1" x14ac:dyDescent="0.3">
      <c r="A15" s="6">
        <f>GETPIVOTDATA("Count of merchantid",KPY_Summary_Cards!$A$1)</f>
        <v>958</v>
      </c>
    </row>
    <row r="16" spans="1:1" x14ac:dyDescent="0.3"/>
    <row r="17" spans="3:5" x14ac:dyDescent="0.3"/>
    <row r="18" spans="3:5" x14ac:dyDescent="0.3"/>
    <row r="19" spans="3:5" x14ac:dyDescent="0.3"/>
    <row r="20" spans="3:5" x14ac:dyDescent="0.3"/>
    <row r="21" spans="3:5" x14ac:dyDescent="0.3">
      <c r="C21" s="15"/>
      <c r="D21" s="15"/>
      <c r="E21" s="15"/>
    </row>
    <row r="22" spans="3:5" x14ac:dyDescent="0.3">
      <c r="C22" s="11" t="s">
        <v>993</v>
      </c>
      <c r="D22" s="11" t="s">
        <v>981</v>
      </c>
      <c r="E22" s="11" t="s">
        <v>982</v>
      </c>
    </row>
    <row r="23" spans="3:5" x14ac:dyDescent="0.3">
      <c r="C23" s="9" t="s">
        <v>976</v>
      </c>
      <c r="D23" s="10">
        <v>1519</v>
      </c>
      <c r="E23" s="10">
        <v>61</v>
      </c>
    </row>
    <row r="24" spans="3:5" x14ac:dyDescent="0.3">
      <c r="C24" s="13" t="s">
        <v>977</v>
      </c>
      <c r="D24" s="14">
        <v>1812180</v>
      </c>
      <c r="E24" s="14">
        <v>229</v>
      </c>
    </row>
    <row r="25" spans="3:5" x14ac:dyDescent="0.3">
      <c r="C25" s="9" t="s">
        <v>978</v>
      </c>
      <c r="D25" s="10">
        <v>4660633</v>
      </c>
      <c r="E25" s="10">
        <v>135</v>
      </c>
    </row>
    <row r="26" spans="3:5" x14ac:dyDescent="0.3">
      <c r="C26" s="13" t="s">
        <v>979</v>
      </c>
      <c r="D26" s="14">
        <v>350923</v>
      </c>
      <c r="E26" s="14">
        <v>533</v>
      </c>
    </row>
    <row r="27" spans="3:5" x14ac:dyDescent="0.3">
      <c r="C27" s="12" t="s">
        <v>980</v>
      </c>
      <c r="D27" s="11">
        <v>6825255</v>
      </c>
      <c r="E27" s="11">
        <v>958</v>
      </c>
    </row>
    <row r="28" spans="3:5" x14ac:dyDescent="0.3">
      <c r="C28" s="8"/>
      <c r="D28" s="8"/>
      <c r="E28" s="8"/>
    </row>
    <row r="29" spans="3:5" x14ac:dyDescent="0.3">
      <c r="C29" s="8"/>
      <c r="D29" s="8"/>
      <c r="E29" s="8"/>
    </row>
    <row r="30" spans="3:5" x14ac:dyDescent="0.3">
      <c r="C30" s="8"/>
      <c r="D30" s="8"/>
      <c r="E30" s="8"/>
    </row>
    <row r="31" spans="3:5" x14ac:dyDescent="0.3">
      <c r="C31" s="8"/>
      <c r="D31" s="8"/>
      <c r="E31" s="8"/>
    </row>
    <row r="32" spans="3:5" x14ac:dyDescent="0.3">
      <c r="C32" s="8"/>
      <c r="D32" s="8"/>
      <c r="E32" s="8"/>
    </row>
    <row r="33" spans="3:5" x14ac:dyDescent="0.3">
      <c r="C33" s="8"/>
      <c r="D33" s="8"/>
      <c r="E33" s="8"/>
    </row>
    <row r="34" spans="3:5" x14ac:dyDescent="0.3">
      <c r="C34" s="8"/>
      <c r="D34" s="8"/>
      <c r="E34" s="8"/>
    </row>
    <row r="35" spans="3:5" x14ac:dyDescent="0.3">
      <c r="C35" s="8"/>
      <c r="D35" s="8"/>
      <c r="E35" s="8"/>
    </row>
    <row r="36" spans="3:5" hidden="1" x14ac:dyDescent="0.3">
      <c r="C36" s="8"/>
      <c r="D36" s="8"/>
      <c r="E36" s="8"/>
    </row>
    <row r="37" spans="3:5" hidden="1" x14ac:dyDescent="0.3">
      <c r="C37" s="8"/>
      <c r="D37" s="8"/>
      <c r="E37" s="8"/>
    </row>
    <row r="38" spans="3:5" hidden="1" x14ac:dyDescent="0.3">
      <c r="C38" s="8"/>
      <c r="D38" s="8"/>
      <c r="E38" s="8"/>
    </row>
  </sheetData>
  <pageMargins left="0.7" right="0.7" top="0.75" bottom="0.75" header="0.3" footer="0.3"/>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BB0F77-6642-4D97-886D-7018C21D4F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Computed insight - Success of a</vt:lpstr>
      <vt:lpstr>Sales_Volume_ by_Merchant_Tier</vt:lpstr>
      <vt:lpstr>Discount_Impact_on_Sales_Perfor</vt:lpstr>
      <vt:lpstr>Urgency_Banner_Effectiveness</vt:lpstr>
      <vt:lpstr>KPY_Summary_Cards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Shree</dc:creator>
  <cp:lastModifiedBy>Sneha Shree</cp:lastModifiedBy>
  <dcterms:created xsi:type="dcterms:W3CDTF">2026-06-09T10:09:11Z</dcterms:created>
  <dcterms:modified xsi:type="dcterms:W3CDTF">2026-06-10T07:03:51Z</dcterms:modified>
</cp:coreProperties>
</file>